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ompras.2\Desktop\"/>
    </mc:Choice>
  </mc:AlternateContent>
  <xr:revisionPtr revIDLastSave="0" documentId="13_ncr:1_{F058A4B2-B1A0-44C4-B2AD-0A363A3F0DDE}" xr6:coauthVersionLast="47" xr6:coauthVersionMax="47" xr10:uidLastSave="{00000000-0000-0000-0000-000000000000}"/>
  <bookViews>
    <workbookView xWindow="-108" yWindow="-108" windowWidth="23256" windowHeight="12456" tabRatio="963" firstSheet="2" activeTab="7" xr2:uid="{00000000-000D-0000-FFFF-FFFF00000000}"/>
  </bookViews>
  <sheets>
    <sheet name="AFTECOOLLER" sheetId="3" r:id="rId1"/>
    <sheet name="BOOSTER" sheetId="6" r:id="rId2"/>
    <sheet name="BOMBA LIMPEZA QUIMICA" sheetId="5" r:id="rId3"/>
    <sheet name="CALDEIRA" sheetId="7" r:id="rId4"/>
    <sheet name="CONTAINER" sheetId="2" r:id="rId5"/>
    <sheet name="CONTAINER HIDROJATO" sheetId="13" r:id="rId6"/>
    <sheet name="MEMBRANA" sheetId="11" r:id="rId7"/>
    <sheet name="QUAD GAS" sheetId="16" r:id="rId8"/>
    <sheet name="COMPRESSORES" sheetId="4" r:id="rId9"/>
    <sheet name="SAAD" sheetId="9" r:id="rId10"/>
    <sheet name="MOLSIEVE" sheetId="17" r:id="rId11"/>
    <sheet name="VASO DE PRESSÃO" sheetId="10" r:id="rId12"/>
    <sheet name="TANQUE" sheetId="14" r:id="rId13"/>
    <sheet name="DIVERSOS" sheetId="15" r:id="rId14"/>
    <sheet name="GERAL" sheetId="12" r:id="rId15"/>
  </sheets>
  <definedNames>
    <definedName name="_xlnm._FilterDatabase" localSheetId="0" hidden="1">AFTECOOLLER!$A$1:$G$11</definedName>
    <definedName name="_xlnm._FilterDatabase" localSheetId="2" hidden="1">'BOMBA LIMPEZA QUIMICA'!$A$1:$G$12</definedName>
    <definedName name="_xlnm._FilterDatabase" localSheetId="1" hidden="1">BOOSTER!$A$1:$G$8</definedName>
    <definedName name="_xlnm._FilterDatabase" localSheetId="3" hidden="1">CALDEIRA!$A$1:$G$4</definedName>
    <definedName name="_xlnm._FilterDatabase" localSheetId="8" hidden="1">COMPRESSORES!$A$1:$G$26</definedName>
    <definedName name="_xlnm._FilterDatabase" localSheetId="4" hidden="1">CONTAINER!$A$1:$I$49</definedName>
    <definedName name="_xlnm._FilterDatabase" localSheetId="5" hidden="1">'CONTAINER HIDROJATO'!$A$1:$H$7</definedName>
    <definedName name="_xlnm._FilterDatabase" localSheetId="13" hidden="1">DIVERSOS!$A$1:$G$9</definedName>
    <definedName name="_xlnm._FilterDatabase" localSheetId="14" hidden="1">GERAL!$A$1:$F$154</definedName>
    <definedName name="_xlnm._FilterDatabase" localSheetId="6" hidden="1">MEMBRANA!$A$1:$G$16</definedName>
    <definedName name="_xlnm._FilterDatabase" localSheetId="10" hidden="1">MOLSIEVE!$A$1:$G$5</definedName>
    <definedName name="_xlnm._FilterDatabase" localSheetId="7" hidden="1">'QUAD GAS'!$A$1:$K$40</definedName>
    <definedName name="_xlnm._FilterDatabase" localSheetId="9" hidden="1">SAAD!$A$1:$G$8</definedName>
    <definedName name="_xlnm._FilterDatabase" localSheetId="12" hidden="1">TANQUE!$A$1:$G$3</definedName>
    <definedName name="_xlnm._FilterDatabase" localSheetId="11" hidden="1">'VASO DE PRESSÃO'!$A$1:$G$3</definedName>
    <definedName name="_xlnm.Print_Area" localSheetId="8">COMPRESSORES!$A$1:$G$21</definedName>
    <definedName name="_xlnm.Print_Area" localSheetId="4">CONTAINER!$A$1:$H$49</definedName>
    <definedName name="_xlnm.Print_Area" localSheetId="10">MOLSIEVE!$A$1:$G$5</definedName>
    <definedName name="_xlnm.Print_Area" localSheetId="7">'QUAD GAS'!$A$1:$I$40</definedName>
    <definedName name="_xlnm.Print_Area" localSheetId="9">SAAD!$A$1:$G$8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2" l="1"/>
  <c r="A149" i="12"/>
  <c r="F154" i="12" l="1"/>
  <c r="E154" i="12"/>
  <c r="D154" i="12"/>
  <c r="C154" i="12"/>
  <c r="B154" i="12"/>
  <c r="A154" i="12"/>
  <c r="F149" i="12" l="1"/>
  <c r="F150" i="12"/>
  <c r="F151" i="12"/>
  <c r="F152" i="12"/>
  <c r="F153" i="12"/>
  <c r="E149" i="12"/>
  <c r="E150" i="12"/>
  <c r="E151" i="12"/>
  <c r="E152" i="12"/>
  <c r="E153" i="12"/>
  <c r="D149" i="12"/>
  <c r="D150" i="12"/>
  <c r="D151" i="12"/>
  <c r="D152" i="12"/>
  <c r="D153" i="12"/>
  <c r="C149" i="12"/>
  <c r="C150" i="12"/>
  <c r="C151" i="12"/>
  <c r="C152" i="12"/>
  <c r="C153" i="12"/>
  <c r="B149" i="12"/>
  <c r="B150" i="12"/>
  <c r="B151" i="12"/>
  <c r="B152" i="12"/>
  <c r="B153" i="12"/>
  <c r="A150" i="12"/>
  <c r="A151" i="12"/>
  <c r="A152" i="12"/>
  <c r="A153" i="12"/>
  <c r="F148" i="12"/>
  <c r="E148" i="12"/>
  <c r="D148" i="12"/>
  <c r="C148" i="12"/>
  <c r="B148" i="12"/>
  <c r="A148" i="12"/>
  <c r="F143" i="12"/>
  <c r="F144" i="12"/>
  <c r="F145" i="12"/>
  <c r="F146" i="12"/>
  <c r="F147" i="12"/>
  <c r="E143" i="12"/>
  <c r="E144" i="12"/>
  <c r="E145" i="12"/>
  <c r="E146" i="12"/>
  <c r="E147" i="12"/>
  <c r="D143" i="12"/>
  <c r="D144" i="12"/>
  <c r="D145" i="12"/>
  <c r="D146" i="12"/>
  <c r="D147" i="12"/>
  <c r="C143" i="12"/>
  <c r="C144" i="12"/>
  <c r="C145" i="12"/>
  <c r="C146" i="12"/>
  <c r="C147" i="12"/>
  <c r="B143" i="12"/>
  <c r="B144" i="12"/>
  <c r="B145" i="12"/>
  <c r="B146" i="12"/>
  <c r="B147" i="12"/>
  <c r="A143" i="12"/>
  <c r="A144" i="12"/>
  <c r="A145" i="12"/>
  <c r="A146" i="12"/>
  <c r="A147" i="12"/>
  <c r="F142" i="12"/>
  <c r="E142" i="12"/>
  <c r="D142" i="12"/>
  <c r="C142" i="12"/>
  <c r="B142" i="12"/>
  <c r="A142" i="12"/>
  <c r="F140" i="12"/>
  <c r="F141" i="12"/>
  <c r="E140" i="12"/>
  <c r="E141" i="12"/>
  <c r="D140" i="12"/>
  <c r="D141" i="12"/>
  <c r="C140" i="12"/>
  <c r="C141" i="12"/>
  <c r="B140" i="12"/>
  <c r="B141" i="12"/>
  <c r="A140" i="12"/>
  <c r="A141" i="12"/>
  <c r="D139" i="12"/>
  <c r="E139" i="12"/>
  <c r="F139" i="12"/>
  <c r="C139" i="12"/>
  <c r="B139" i="12"/>
  <c r="A139" i="12"/>
  <c r="F133" i="12" l="1"/>
  <c r="F134" i="12"/>
  <c r="F135" i="12"/>
  <c r="F136" i="12"/>
  <c r="F137" i="12"/>
  <c r="F138" i="12"/>
  <c r="E133" i="12"/>
  <c r="E134" i="12"/>
  <c r="E135" i="12"/>
  <c r="E136" i="12"/>
  <c r="E137" i="12"/>
  <c r="E138" i="12"/>
  <c r="D133" i="12"/>
  <c r="D134" i="12"/>
  <c r="D135" i="12"/>
  <c r="D136" i="12"/>
  <c r="D137" i="12"/>
  <c r="D138" i="12"/>
  <c r="C133" i="12"/>
  <c r="C134" i="12"/>
  <c r="C135" i="12"/>
  <c r="C136" i="12"/>
  <c r="C137" i="12"/>
  <c r="C138" i="12"/>
  <c r="B133" i="12"/>
  <c r="B134" i="12"/>
  <c r="B135" i="12"/>
  <c r="B136" i="12"/>
  <c r="B137" i="12"/>
  <c r="B138" i="12"/>
  <c r="A133" i="12"/>
  <c r="A134" i="12"/>
  <c r="A135" i="12"/>
  <c r="A136" i="12"/>
  <c r="A137" i="12"/>
  <c r="A138" i="12"/>
  <c r="F132" i="12"/>
  <c r="E132" i="12"/>
  <c r="D132" i="12"/>
  <c r="C132" i="12"/>
  <c r="B132" i="12"/>
  <c r="A132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A129" i="12"/>
  <c r="A130" i="12"/>
  <c r="A131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F110" i="12"/>
  <c r="E110" i="12"/>
  <c r="D110" i="12"/>
  <c r="C110" i="12"/>
  <c r="B110" i="12"/>
  <c r="A110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F89" i="12"/>
  <c r="E89" i="12"/>
  <c r="D89" i="12"/>
  <c r="C89" i="12"/>
  <c r="B89" i="12"/>
  <c r="A89" i="12"/>
  <c r="F79" i="12"/>
  <c r="F80" i="12"/>
  <c r="F81" i="12"/>
  <c r="F82" i="12"/>
  <c r="F83" i="12"/>
  <c r="F84" i="12"/>
  <c r="F85" i="12"/>
  <c r="F86" i="12"/>
  <c r="F87" i="12"/>
  <c r="F88" i="12"/>
  <c r="E79" i="12"/>
  <c r="E80" i="12"/>
  <c r="E81" i="12"/>
  <c r="E82" i="12"/>
  <c r="E83" i="12"/>
  <c r="E84" i="12"/>
  <c r="E85" i="12"/>
  <c r="E86" i="12"/>
  <c r="E87" i="12"/>
  <c r="E88" i="12"/>
  <c r="D79" i="12"/>
  <c r="D80" i="12"/>
  <c r="D81" i="12"/>
  <c r="D82" i="12"/>
  <c r="D83" i="12"/>
  <c r="D84" i="12"/>
  <c r="D85" i="12"/>
  <c r="D86" i="12"/>
  <c r="D87" i="12"/>
  <c r="D88" i="12"/>
  <c r="C79" i="12"/>
  <c r="C80" i="12"/>
  <c r="C81" i="12"/>
  <c r="C82" i="12"/>
  <c r="C83" i="12"/>
  <c r="C84" i="12"/>
  <c r="C85" i="12"/>
  <c r="C86" i="12"/>
  <c r="C87" i="12"/>
  <c r="C88" i="12"/>
  <c r="B88" i="12"/>
  <c r="A88" i="12"/>
  <c r="B79" i="12"/>
  <c r="B80" i="12"/>
  <c r="B81" i="12"/>
  <c r="B82" i="12"/>
  <c r="B83" i="12"/>
  <c r="B84" i="12"/>
  <c r="B85" i="12"/>
  <c r="B86" i="12"/>
  <c r="B87" i="12"/>
  <c r="A83" i="12"/>
  <c r="A84" i="12"/>
  <c r="A85" i="12"/>
  <c r="A86" i="12"/>
  <c r="A87" i="12"/>
  <c r="A82" i="12"/>
  <c r="A81" i="12"/>
  <c r="A80" i="12"/>
  <c r="A79" i="12"/>
  <c r="F78" i="12"/>
  <c r="E78" i="12"/>
  <c r="D78" i="12"/>
  <c r="C78" i="12"/>
  <c r="B78" i="12"/>
  <c r="A78" i="12"/>
  <c r="F73" i="12"/>
  <c r="F74" i="12"/>
  <c r="F75" i="12"/>
  <c r="F76" i="12"/>
  <c r="F77" i="12"/>
  <c r="E73" i="12"/>
  <c r="E74" i="12"/>
  <c r="E75" i="12"/>
  <c r="E76" i="12"/>
  <c r="E77" i="12"/>
  <c r="D73" i="12"/>
  <c r="D74" i="12"/>
  <c r="D75" i="12"/>
  <c r="D76" i="12"/>
  <c r="D77" i="12"/>
  <c r="C73" i="12"/>
  <c r="C74" i="12"/>
  <c r="C75" i="12"/>
  <c r="C76" i="12"/>
  <c r="C77" i="12"/>
  <c r="B73" i="12"/>
  <c r="B74" i="12"/>
  <c r="B75" i="12"/>
  <c r="B76" i="12"/>
  <c r="B77" i="12"/>
  <c r="A73" i="12"/>
  <c r="A74" i="12"/>
  <c r="A75" i="12"/>
  <c r="A76" i="12"/>
  <c r="A77" i="12"/>
  <c r="F72" i="12"/>
  <c r="E72" i="12"/>
  <c r="D72" i="12"/>
  <c r="C72" i="12"/>
  <c r="B72" i="12"/>
  <c r="A72" i="12"/>
  <c r="F71" i="12"/>
  <c r="F70" i="12"/>
  <c r="F69" i="12"/>
  <c r="F68" i="12"/>
  <c r="F66" i="12"/>
  <c r="F65" i="12"/>
  <c r="F64" i="12"/>
  <c r="F63" i="12"/>
  <c r="F62" i="12"/>
  <c r="F61" i="12"/>
  <c r="F60" i="12"/>
  <c r="F58" i="12"/>
  <c r="F57" i="12"/>
  <c r="F56" i="12"/>
  <c r="F55" i="12"/>
  <c r="E71" i="12"/>
  <c r="E70" i="12"/>
  <c r="E69" i="12"/>
  <c r="E68" i="12"/>
  <c r="E66" i="12"/>
  <c r="E65" i="12"/>
  <c r="E64" i="12"/>
  <c r="E63" i="12"/>
  <c r="E62" i="12"/>
  <c r="E61" i="12"/>
  <c r="E60" i="12"/>
  <c r="E58" i="12"/>
  <c r="E57" i="12"/>
  <c r="E56" i="12"/>
  <c r="E55" i="12"/>
  <c r="D71" i="12"/>
  <c r="D70" i="12"/>
  <c r="D69" i="12"/>
  <c r="D68" i="12"/>
  <c r="D66" i="12"/>
  <c r="D65" i="12"/>
  <c r="D64" i="12"/>
  <c r="D63" i="12"/>
  <c r="D62" i="12"/>
  <c r="D61" i="12"/>
  <c r="D60" i="12"/>
  <c r="D58" i="12"/>
  <c r="D57" i="12"/>
  <c r="D56" i="12"/>
  <c r="D55" i="12"/>
  <c r="C71" i="12"/>
  <c r="C70" i="12"/>
  <c r="C69" i="12"/>
  <c r="C68" i="12"/>
  <c r="C66" i="12"/>
  <c r="C65" i="12"/>
  <c r="C64" i="12"/>
  <c r="C63" i="12"/>
  <c r="C62" i="12"/>
  <c r="C61" i="12"/>
  <c r="C60" i="12"/>
  <c r="C58" i="12"/>
  <c r="C57" i="12"/>
  <c r="C56" i="12"/>
  <c r="C55" i="12"/>
  <c r="B71" i="12"/>
  <c r="B70" i="12"/>
  <c r="B69" i="12"/>
  <c r="B68" i="12"/>
  <c r="B66" i="12"/>
  <c r="B65" i="12"/>
  <c r="B64" i="12"/>
  <c r="B63" i="12"/>
  <c r="B62" i="12"/>
  <c r="B61" i="12"/>
  <c r="B60" i="12"/>
  <c r="B58" i="12"/>
  <c r="B57" i="12"/>
  <c r="B56" i="12"/>
  <c r="B55" i="12"/>
  <c r="A71" i="12"/>
  <c r="A70" i="12"/>
  <c r="A69" i="12"/>
  <c r="A68" i="12"/>
  <c r="A66" i="12"/>
  <c r="A65" i="12"/>
  <c r="A64" i="12"/>
  <c r="A63" i="12"/>
  <c r="A62" i="12"/>
  <c r="A61" i="12"/>
  <c r="A60" i="12"/>
  <c r="A55" i="12"/>
  <c r="A56" i="12"/>
  <c r="A57" i="12"/>
  <c r="A58" i="12"/>
  <c r="F47" i="12"/>
  <c r="E47" i="12"/>
  <c r="F44" i="12"/>
  <c r="E44" i="12"/>
  <c r="F42" i="12"/>
  <c r="E42" i="12"/>
  <c r="E31" i="12"/>
  <c r="E30" i="12"/>
  <c r="F27" i="12"/>
  <c r="E27" i="12"/>
  <c r="F23" i="12"/>
  <c r="E23" i="12"/>
  <c r="F21" i="12"/>
  <c r="F22" i="12"/>
  <c r="F20" i="12"/>
  <c r="B20" i="12"/>
  <c r="F19" i="12"/>
  <c r="F18" i="12"/>
  <c r="E19" i="12"/>
  <c r="E18" i="12"/>
  <c r="E15" i="12"/>
  <c r="D19" i="12"/>
  <c r="D18" i="12"/>
  <c r="C19" i="12"/>
  <c r="B19" i="12"/>
  <c r="B18" i="12"/>
  <c r="C18" i="12"/>
  <c r="A19" i="12"/>
  <c r="A18" i="12"/>
  <c r="E7" i="12"/>
  <c r="E11" i="12" l="1"/>
  <c r="F10" i="12"/>
  <c r="E10" i="12"/>
  <c r="E9" i="12"/>
  <c r="D10" i="12"/>
  <c r="C10" i="12"/>
  <c r="B10" i="12"/>
  <c r="A10" i="12"/>
  <c r="A45" i="12"/>
  <c r="A44" i="12"/>
  <c r="A42" i="12"/>
  <c r="A43" i="12"/>
  <c r="A6" i="12"/>
  <c r="E20" i="12"/>
  <c r="A67" i="12"/>
  <c r="B67" i="12"/>
  <c r="C67" i="12"/>
  <c r="D67" i="12"/>
  <c r="E67" i="12"/>
  <c r="F67" i="12"/>
  <c r="B33" i="12"/>
  <c r="C33" i="12"/>
  <c r="D33" i="12"/>
  <c r="E33" i="12"/>
  <c r="F33" i="12"/>
  <c r="B34" i="12"/>
  <c r="C34" i="12"/>
  <c r="D34" i="12"/>
  <c r="E34" i="12"/>
  <c r="F34" i="12"/>
  <c r="B35" i="12"/>
  <c r="C35" i="12"/>
  <c r="D35" i="12"/>
  <c r="E35" i="12"/>
  <c r="F35" i="12"/>
  <c r="B36" i="12"/>
  <c r="C36" i="12"/>
  <c r="D36" i="12"/>
  <c r="E36" i="12"/>
  <c r="F36" i="12"/>
  <c r="B37" i="12"/>
  <c r="C37" i="12"/>
  <c r="D37" i="12"/>
  <c r="E37" i="12"/>
  <c r="F37" i="12"/>
  <c r="B38" i="12"/>
  <c r="C38" i="12"/>
  <c r="D38" i="12"/>
  <c r="E38" i="12"/>
  <c r="F38" i="12"/>
  <c r="B39" i="12"/>
  <c r="C39" i="12"/>
  <c r="D39" i="12"/>
  <c r="E39" i="12"/>
  <c r="F39" i="12"/>
  <c r="B40" i="12"/>
  <c r="C40" i="12"/>
  <c r="D40" i="12"/>
  <c r="E40" i="12"/>
  <c r="F40" i="12"/>
  <c r="B41" i="12"/>
  <c r="C41" i="12"/>
  <c r="D41" i="12"/>
  <c r="E41" i="12"/>
  <c r="F41" i="12"/>
  <c r="B42" i="12"/>
  <c r="C42" i="12"/>
  <c r="D42" i="12"/>
  <c r="B43" i="12"/>
  <c r="C43" i="12"/>
  <c r="D43" i="12"/>
  <c r="E43" i="12"/>
  <c r="F43" i="12"/>
  <c r="B44" i="12"/>
  <c r="C44" i="12"/>
  <c r="D44" i="12"/>
  <c r="B45" i="12"/>
  <c r="C45" i="12"/>
  <c r="D45" i="12"/>
  <c r="E45" i="12"/>
  <c r="F45" i="12"/>
  <c r="B46" i="12"/>
  <c r="C46" i="12"/>
  <c r="D46" i="12"/>
  <c r="E46" i="12"/>
  <c r="F46" i="12"/>
  <c r="B47" i="12"/>
  <c r="C47" i="12"/>
  <c r="D47" i="12"/>
  <c r="B48" i="12"/>
  <c r="C48" i="12"/>
  <c r="D48" i="12"/>
  <c r="E48" i="12"/>
  <c r="F48" i="12"/>
  <c r="B49" i="12"/>
  <c r="C49" i="12"/>
  <c r="D49" i="12"/>
  <c r="E49" i="12"/>
  <c r="F49" i="12"/>
  <c r="B50" i="12"/>
  <c r="C50" i="12"/>
  <c r="D50" i="12"/>
  <c r="E50" i="12"/>
  <c r="F50" i="12"/>
  <c r="B51" i="12"/>
  <c r="C51" i="12"/>
  <c r="D51" i="12"/>
  <c r="E51" i="12"/>
  <c r="F51" i="12"/>
  <c r="B52" i="12"/>
  <c r="C52" i="12"/>
  <c r="D52" i="12"/>
  <c r="E52" i="12"/>
  <c r="F52" i="12"/>
  <c r="B53" i="12"/>
  <c r="C53" i="12"/>
  <c r="D53" i="12"/>
  <c r="E53" i="12"/>
  <c r="F53" i="12"/>
  <c r="B54" i="12"/>
  <c r="C54" i="12"/>
  <c r="D54" i="12"/>
  <c r="E54" i="12"/>
  <c r="F54" i="12"/>
  <c r="B59" i="12"/>
  <c r="C59" i="12"/>
  <c r="D59" i="12"/>
  <c r="E59" i="12"/>
  <c r="F59" i="12"/>
  <c r="C32" i="12"/>
  <c r="D32" i="12"/>
  <c r="E32" i="12"/>
  <c r="F32" i="12"/>
  <c r="B32" i="12"/>
  <c r="A33" i="12"/>
  <c r="A34" i="12"/>
  <c r="A35" i="12"/>
  <c r="A36" i="12"/>
  <c r="A37" i="12"/>
  <c r="A38" i="12"/>
  <c r="A39" i="12"/>
  <c r="A40" i="12"/>
  <c r="A41" i="12"/>
  <c r="A46" i="12"/>
  <c r="A47" i="12"/>
  <c r="A48" i="12"/>
  <c r="A49" i="12"/>
  <c r="A50" i="12"/>
  <c r="A51" i="12"/>
  <c r="A52" i="12"/>
  <c r="A54" i="12"/>
  <c r="A59" i="12"/>
  <c r="A32" i="12"/>
  <c r="A30" i="12"/>
  <c r="B30" i="12"/>
  <c r="C30" i="12"/>
  <c r="D30" i="12"/>
  <c r="F30" i="12"/>
  <c r="A31" i="12"/>
  <c r="B31" i="12"/>
  <c r="C31" i="12"/>
  <c r="D31" i="12"/>
  <c r="F31" i="12"/>
  <c r="B29" i="12"/>
  <c r="C29" i="12"/>
  <c r="D29" i="12"/>
  <c r="E29" i="12"/>
  <c r="F29" i="12"/>
  <c r="A29" i="12"/>
  <c r="A17" i="12"/>
  <c r="B17" i="12"/>
  <c r="C17" i="12"/>
  <c r="D17" i="12"/>
  <c r="E17" i="12"/>
  <c r="F17" i="12"/>
  <c r="A20" i="12"/>
  <c r="C20" i="12"/>
  <c r="D20" i="12"/>
  <c r="A21" i="12"/>
  <c r="B21" i="12"/>
  <c r="C21" i="12"/>
  <c r="D21" i="12"/>
  <c r="E21" i="12"/>
  <c r="A22" i="12"/>
  <c r="B22" i="12"/>
  <c r="C22" i="12"/>
  <c r="D22" i="12"/>
  <c r="E22" i="12"/>
  <c r="A23" i="12"/>
  <c r="B23" i="12"/>
  <c r="C23" i="12"/>
  <c r="D23" i="12"/>
  <c r="A24" i="12"/>
  <c r="B24" i="12"/>
  <c r="C24" i="12"/>
  <c r="D24" i="12"/>
  <c r="E24" i="12"/>
  <c r="F24" i="12"/>
  <c r="A25" i="12"/>
  <c r="B25" i="12"/>
  <c r="C25" i="12"/>
  <c r="D25" i="12"/>
  <c r="E25" i="12"/>
  <c r="F25" i="12"/>
  <c r="A26" i="12"/>
  <c r="B26" i="12"/>
  <c r="C26" i="12"/>
  <c r="D26" i="12"/>
  <c r="E26" i="12"/>
  <c r="F26" i="12"/>
  <c r="A27" i="12"/>
  <c r="B27" i="12"/>
  <c r="C27" i="12"/>
  <c r="D27" i="12"/>
  <c r="A28" i="12"/>
  <c r="B28" i="12"/>
  <c r="C28" i="12"/>
  <c r="D28" i="12"/>
  <c r="E28" i="12"/>
  <c r="F28" i="12"/>
  <c r="B16" i="12"/>
  <c r="C16" i="12"/>
  <c r="D16" i="12"/>
  <c r="E16" i="12"/>
  <c r="F16" i="12"/>
  <c r="A16" i="12"/>
  <c r="F15" i="12"/>
  <c r="F14" i="12"/>
  <c r="F13" i="12"/>
  <c r="F12" i="12"/>
  <c r="F11" i="12"/>
  <c r="F9" i="12"/>
  <c r="F8" i="12"/>
  <c r="F7" i="12"/>
  <c r="F6" i="12"/>
  <c r="F5" i="12"/>
  <c r="F4" i="12"/>
  <c r="F3" i="12"/>
  <c r="F2" i="12"/>
  <c r="A15" i="12"/>
  <c r="B15" i="12"/>
  <c r="C15" i="12"/>
  <c r="D15" i="12"/>
  <c r="A12" i="12"/>
  <c r="B12" i="12"/>
  <c r="C12" i="12"/>
  <c r="D12" i="12"/>
  <c r="E12" i="12"/>
  <c r="A13" i="12"/>
  <c r="B13" i="12"/>
  <c r="C13" i="12"/>
  <c r="D13" i="12"/>
  <c r="E13" i="12"/>
  <c r="A14" i="12"/>
  <c r="B14" i="12"/>
  <c r="C14" i="12"/>
  <c r="D14" i="12"/>
  <c r="E14" i="12"/>
  <c r="B11" i="12"/>
  <c r="C11" i="12"/>
  <c r="D11" i="12"/>
  <c r="A11" i="12"/>
  <c r="B9" i="12"/>
  <c r="C9" i="12"/>
  <c r="D9" i="12"/>
  <c r="B8" i="12"/>
  <c r="C8" i="12"/>
  <c r="D8" i="12"/>
  <c r="E8" i="12"/>
  <c r="B7" i="12"/>
  <c r="C7" i="12"/>
  <c r="D7" i="12"/>
  <c r="B6" i="12"/>
  <c r="C6" i="12"/>
  <c r="D6" i="12"/>
  <c r="E6" i="12"/>
  <c r="B5" i="12"/>
  <c r="C5" i="12"/>
  <c r="D5" i="12"/>
  <c r="E5" i="12"/>
  <c r="B4" i="12"/>
  <c r="C4" i="12"/>
  <c r="D4" i="12"/>
  <c r="E4" i="12"/>
  <c r="A7" i="12"/>
  <c r="A8" i="12"/>
  <c r="A9" i="12"/>
  <c r="A4" i="12"/>
  <c r="A5" i="12"/>
  <c r="B3" i="12"/>
  <c r="C3" i="12"/>
  <c r="D3" i="12"/>
  <c r="E3" i="12"/>
  <c r="A3" i="12"/>
  <c r="B2" i="12"/>
  <c r="C2" i="12"/>
  <c r="D2" i="12"/>
  <c r="E2" i="12"/>
  <c r="A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</author>
    <author>Logística</author>
  </authors>
  <commentList>
    <comment ref="B2" authorId="0" shapeId="0" xr:uid="{343F808E-CD71-430E-BCDB-8712AA054846}">
      <text>
        <r>
          <rPr>
            <b/>
            <sz val="9"/>
            <color indexed="81"/>
            <rFont val="Segoe UI"/>
            <family val="2"/>
          </rPr>
          <t>RETORNOU DIA 02/12/25 - ILHA BELA - PROCESSO: 6695</t>
        </r>
      </text>
    </comment>
    <comment ref="D2" authorId="0" shapeId="0" xr:uid="{50C68C86-3344-48E5-9E9C-A86A0A1BBCFF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F2" authorId="0" shapeId="0" xr:uid="{E52D2312-E520-429C-9DC0-3B822707A895}">
      <text>
        <r>
          <rPr>
            <b/>
            <sz val="9"/>
            <color indexed="81"/>
            <rFont val="Segoe UI"/>
            <family val="2"/>
          </rPr>
          <t>ESLINGA 3,20M</t>
        </r>
      </text>
    </comment>
    <comment ref="B3" authorId="0" shapeId="0" xr:uid="{BF4CA205-01C5-4775-A42D-F304EB0E9FBA}">
      <text>
        <r>
          <rPr>
            <b/>
            <sz val="9"/>
            <color indexed="81"/>
            <rFont val="Segoe UI"/>
            <family val="2"/>
          </rPr>
          <t>RETORNOU DO MV30 DIA 16/02/25 - PROCESSO 6674</t>
        </r>
      </text>
    </comment>
    <comment ref="D3" authorId="0" shapeId="0" xr:uid="{D101F7E9-193A-4D38-82D5-1F5E260CB928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F3" authorId="0" shapeId="0" xr:uid="{A142A0F8-274C-4A95-B0CC-70388290899E}">
      <text>
        <r>
          <rPr>
            <b/>
            <sz val="9"/>
            <color indexed="81"/>
            <rFont val="Segoe UI"/>
            <family val="2"/>
          </rPr>
          <t>ESLINGA 2,70M</t>
        </r>
      </text>
    </comment>
    <comment ref="B4" authorId="0" shapeId="0" xr:uid="{F5626DE2-CB3C-4777-A707-5A1040CB2F1C}">
      <text>
        <r>
          <rPr>
            <b/>
            <sz val="9"/>
            <color indexed="81"/>
            <rFont val="Segoe UI"/>
            <family val="2"/>
          </rPr>
          <t>RETORNOU DIA 04/02/25 - ANCHIETA - PROCESSO: 6127 / 6130</t>
        </r>
      </text>
    </comment>
    <comment ref="D4" authorId="0" shapeId="0" xr:uid="{A5929F13-656E-4281-9BCA-9BAD6D2E0CBC}">
      <text>
        <r>
          <rPr>
            <b/>
            <sz val="9"/>
            <color indexed="81"/>
            <rFont val="Segoe UI"/>
            <family val="2"/>
          </rPr>
          <t>AGUARD. SAÍDA - PROCESSO 6863</t>
        </r>
      </text>
    </comment>
    <comment ref="F4" authorId="0" shapeId="0" xr:uid="{E650C56E-76F9-40F3-807B-2C81FB5CEE0B}">
      <text>
        <r>
          <rPr>
            <b/>
            <sz val="9"/>
            <color indexed="81"/>
            <rFont val="Segoe UI"/>
            <family val="2"/>
          </rPr>
          <t>ESLINGA 3,20M</t>
        </r>
      </text>
    </comment>
    <comment ref="B5" authorId="0" shapeId="0" xr:uid="{528AE47F-34C2-4FF5-A651-BE82306020BB}">
      <text>
        <r>
          <rPr>
            <b/>
            <sz val="9"/>
            <color indexed="81"/>
            <rFont val="Segoe UI"/>
            <family val="2"/>
          </rPr>
          <t>RETORNOU DIA 10/02/26 - MARICA - PROCESSO: 6731</t>
        </r>
      </text>
    </comment>
    <comment ref="D5" authorId="0" shapeId="0" xr:uid="{2E3D4FCC-5033-4084-99CD-B284121AF2D6}">
      <text>
        <r>
          <rPr>
            <b/>
            <sz val="9"/>
            <color indexed="81"/>
            <rFont val="Segoe UI"/>
            <family val="2"/>
          </rPr>
          <t>AGUAD.  SAIDA
PROCESSO: 6891</t>
        </r>
      </text>
    </comment>
    <comment ref="F5" authorId="0" shapeId="0" xr:uid="{9BBB086D-B7B6-42A0-8AFF-AB228174C096}">
      <text>
        <r>
          <rPr>
            <b/>
            <sz val="9"/>
            <color indexed="81"/>
            <rFont val="Segoe UI"/>
            <family val="2"/>
          </rPr>
          <t>ESLINGA 3,20M</t>
        </r>
      </text>
    </comment>
    <comment ref="B6" authorId="1" shapeId="0" xr:uid="{69076115-3DA9-433D-A1EE-B0A6F43F3F1E}">
      <text>
        <r>
          <rPr>
            <b/>
            <sz val="9"/>
            <color indexed="81"/>
            <rFont val="Segoe UI"/>
            <family val="2"/>
          </rPr>
          <t>RETORNO DO FPSO VITORIA -
DIA 09/03/26 - PROCESSO: 6775</t>
        </r>
      </text>
    </comment>
    <comment ref="F6" authorId="0" shapeId="0" xr:uid="{D90F52D3-B4A1-44B0-9518-3398C21B2AF9}">
      <text>
        <r>
          <rPr>
            <b/>
            <sz val="9"/>
            <color indexed="81"/>
            <rFont val="Segoe UI"/>
            <family val="2"/>
          </rPr>
          <t>ESLINGA 3,00M</t>
        </r>
      </text>
    </comment>
    <comment ref="B7" authorId="0" shapeId="0" xr:uid="{F888BCE1-CEB1-4E3C-AF1D-2A4B7180181A}">
      <text>
        <r>
          <rPr>
            <b/>
            <sz val="9"/>
            <color indexed="81"/>
            <rFont val="Segoe UI"/>
            <family val="2"/>
          </rPr>
          <t>RETORNOU DIA  06/04/26 - PROCESSO: 6775 - FPSO VITORIA</t>
        </r>
      </text>
    </comment>
    <comment ref="F7" authorId="0" shapeId="0" xr:uid="{0DCC1C64-9676-408E-870D-C6D05AB5A5B3}">
      <text>
        <r>
          <rPr>
            <b/>
            <sz val="9"/>
            <color indexed="81"/>
            <rFont val="Segoe UI"/>
            <family val="2"/>
          </rPr>
          <t>ESLINGA 3,00M</t>
        </r>
      </text>
    </comment>
    <comment ref="B8" authorId="0" shapeId="0" xr:uid="{EDEAADF8-DD4A-4A67-A0B5-78808A2A599F}">
      <text>
        <r>
          <rPr>
            <b/>
            <sz val="9"/>
            <color indexed="81"/>
            <rFont val="Segoe UI"/>
            <family val="2"/>
          </rPr>
          <t>RETORNOU DIA 11/02/26 - MARICA - PROCESSO: 6731</t>
        </r>
      </text>
    </comment>
    <comment ref="D8" authorId="0" shapeId="0" xr:uid="{96EB40FD-3AA0-4767-AE32-4BB504CC29B5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F8" authorId="0" shapeId="0" xr:uid="{C9AA6D12-740E-4421-A4BB-3C80C87297B6}">
      <text>
        <r>
          <rPr>
            <b/>
            <sz val="9"/>
            <color indexed="81"/>
            <rFont val="Segoe UI"/>
            <family val="2"/>
          </rPr>
          <t>ESLINGA 3,20M</t>
        </r>
      </text>
    </comment>
    <comment ref="B9" authorId="0" shapeId="0" xr:uid="{FE9531C1-F1BA-468A-AB9E-338259C6306E}">
      <text>
        <r>
          <rPr>
            <b/>
            <sz val="9"/>
            <color indexed="81"/>
            <rFont val="Segoe UI"/>
            <family val="2"/>
          </rPr>
          <t>RETORNOU DO ESS 
DIA 06/03/26 - PROCESSO 6666</t>
        </r>
      </text>
    </comment>
    <comment ref="F9" authorId="0" shapeId="0" xr:uid="{630AC863-5327-489F-8690-B14E14527A0B}">
      <text>
        <r>
          <rPr>
            <b/>
            <sz val="9"/>
            <color indexed="81"/>
            <rFont val="Segoe UI"/>
            <family val="2"/>
          </rPr>
          <t>ESLINGA 3,20M</t>
        </r>
      </text>
    </comment>
    <comment ref="B10" authorId="0" shapeId="0" xr:uid="{538F81BC-06EA-4E85-91A3-C562D15F84E0}">
      <text>
        <r>
          <rPr>
            <b/>
            <sz val="9"/>
            <color indexed="81"/>
            <rFont val="Segoe UI"/>
            <family val="2"/>
          </rPr>
          <t>RETORNOU DIA  19/11/24 - PROCESSO: 6442 - ILHA BELA</t>
        </r>
      </text>
    </comment>
    <comment ref="D10" authorId="0" shapeId="0" xr:uid="{A8BC4921-2D59-4240-9B73-EA1C08588FAE}">
      <text>
        <r>
          <rPr>
            <b/>
            <sz val="9"/>
            <color indexed="81"/>
            <rFont val="Segoe UI"/>
            <family val="2"/>
          </rPr>
          <t>SAIDA 03/02/25
PROCESSO: 6127 / 6130</t>
        </r>
      </text>
    </comment>
    <comment ref="F10" authorId="0" shapeId="0" xr:uid="{EC6398E6-3E52-4216-92C8-8B11512497CF}">
      <text>
        <r>
          <rPr>
            <b/>
            <sz val="9"/>
            <color indexed="81"/>
            <rFont val="Segoe UI"/>
            <family val="2"/>
          </rPr>
          <t>ESLINGA 3,20M</t>
        </r>
      </text>
    </comment>
    <comment ref="B11" authorId="0" shapeId="0" xr:uid="{AD4925E7-3F46-4B5A-8091-2994A1E5534C}">
      <text>
        <r>
          <rPr>
            <b/>
            <sz val="9"/>
            <color indexed="81"/>
            <rFont val="Segoe UI"/>
            <family val="2"/>
          </rPr>
          <t>RETORNOU DO FPSO RAIA DIA 17/11/25 - PROCESSO 6766</t>
        </r>
      </text>
    </comment>
    <comment ref="F11" authorId="0" shapeId="0" xr:uid="{2A573CB6-CBBA-4CA2-9307-0319FB342A88}">
      <text>
        <r>
          <rPr>
            <b/>
            <sz val="9"/>
            <color indexed="81"/>
            <rFont val="Segoe UI"/>
            <family val="2"/>
          </rPr>
          <t>ESLINGA 2,40M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</author>
    <author>Logística</author>
  </authors>
  <commentList>
    <comment ref="B2" authorId="0" shapeId="0" xr:uid="{717E887A-9B7D-48E4-B89A-0C1942FAD667}">
      <text>
        <r>
          <rPr>
            <b/>
            <sz val="9"/>
            <color indexed="81"/>
            <rFont val="Segoe UI"/>
            <family val="2"/>
          </rPr>
          <t>RETORNO 28/01/25 - SCHLUMBERGER PROCESSO: 6421</t>
        </r>
      </text>
    </comment>
    <comment ref="F2" authorId="0" shapeId="0" xr:uid="{C62C427D-1D93-4A7A-A9AE-260D89B3785E}">
      <text>
        <r>
          <rPr>
            <b/>
            <sz val="9"/>
            <color indexed="81"/>
            <rFont val="Segoe UI"/>
            <family val="2"/>
          </rPr>
          <t>ESLINGA 4,30M</t>
        </r>
      </text>
    </comment>
    <comment ref="B3" authorId="1" shapeId="0" xr:uid="{86F8CDEE-FE9A-4A5E-AA8E-B6608CC1FDC8}">
      <text>
        <r>
          <rPr>
            <b/>
            <sz val="9"/>
            <color indexed="81"/>
            <rFont val="Segoe UI"/>
            <family val="2"/>
          </rPr>
          <t>RETORNO DO ANCHIETA  - DIA 11/01/25 - PROCESSO: 6341</t>
        </r>
      </text>
    </comment>
    <comment ref="F3" authorId="0" shapeId="0" xr:uid="{103919FE-0B60-4BCB-BB40-DA8C9349FD57}">
      <text>
        <r>
          <rPr>
            <b/>
            <sz val="9"/>
            <color indexed="81"/>
            <rFont val="Segoe UI"/>
            <family val="2"/>
          </rPr>
          <t>ESLINGA 4,30M</t>
        </r>
      </text>
    </comment>
    <comment ref="B4" authorId="0" shapeId="0" xr:uid="{3FA493D9-38D6-4966-B8AF-CA49843C457F}">
      <text>
        <r>
          <rPr>
            <b/>
            <sz val="9"/>
            <color indexed="81"/>
            <rFont val="Segoe UI"/>
            <family val="2"/>
          </rPr>
          <t>RETORNOU DIA 02/03/26 - MARICA - PROCESSO: 6666</t>
        </r>
      </text>
    </comment>
    <comment ref="C4" authorId="0" shapeId="0" xr:uid="{11DEA860-8FE2-4B22-88F1-5CF375742232}">
      <text>
        <r>
          <rPr>
            <b/>
            <sz val="9"/>
            <color indexed="81"/>
            <rFont val="Segoe UI"/>
            <family val="2"/>
          </rPr>
          <t>SAIDA 17/03/26
PROCESSO: 6775</t>
        </r>
      </text>
    </comment>
    <comment ref="D4" authorId="0" shapeId="0" xr:uid="{E861BA62-1252-46E0-9D8F-28C0F49509D5}">
      <text>
        <r>
          <rPr>
            <b/>
            <sz val="9"/>
            <color indexed="81"/>
            <rFont val="Segoe UI"/>
            <family val="2"/>
          </rPr>
          <t>SAIDA 12/05/26</t>
        </r>
      </text>
    </comment>
    <comment ref="F4" authorId="0" shapeId="0" xr:uid="{1552896B-6247-4183-BF41-D4621FB06F0F}">
      <text>
        <r>
          <rPr>
            <b/>
            <sz val="9"/>
            <color indexed="81"/>
            <rFont val="Segoe UI"/>
            <family val="2"/>
          </rPr>
          <t>ESLINGA 4,30M</t>
        </r>
      </text>
    </comment>
    <comment ref="B5" authorId="1" shapeId="0" xr:uid="{76E78237-C449-40CC-AFB2-355980E73314}">
      <text>
        <r>
          <rPr>
            <b/>
            <sz val="9"/>
            <color indexed="81"/>
            <rFont val="Segoe UI"/>
            <family val="2"/>
          </rPr>
          <t>RETORNO DA HALLIBURTON - DIA 10/01/26 - PROCESSO: 6761</t>
        </r>
      </text>
    </comment>
    <comment ref="D5" authorId="0" shapeId="0" xr:uid="{9318F0CE-E916-4D1F-8C79-EB53AED03387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F5" authorId="0" shapeId="0" xr:uid="{1356A1A6-9CC0-45DD-BC7E-D415EE9FDECC}">
      <text>
        <r>
          <rPr>
            <b/>
            <sz val="9"/>
            <color indexed="81"/>
            <rFont val="Segoe UI"/>
            <family val="2"/>
          </rPr>
          <t>ESLINGA 3,90M</t>
        </r>
      </text>
    </comment>
    <comment ref="B6" authorId="0" shapeId="0" xr:uid="{739736B3-B98B-4668-9EA2-A76F4544AE29}">
      <text>
        <r>
          <rPr>
            <b/>
            <sz val="9"/>
            <color indexed="81"/>
            <rFont val="Segoe UI"/>
            <family val="2"/>
          </rPr>
          <t>RETORNOU DIA 11/02/26 - MARICA - PROCESSO: 6731</t>
        </r>
      </text>
    </comment>
    <comment ref="D6" authorId="0" shapeId="0" xr:uid="{62C44884-024A-428B-85A0-F80BB9613E8D}">
      <text>
        <r>
          <rPr>
            <b/>
            <sz val="9"/>
            <color indexed="81"/>
            <rFont val="Segoe UI"/>
            <family val="2"/>
          </rPr>
          <t>AGUARD. SAÍDA - PROCESSO 6863</t>
        </r>
      </text>
    </comment>
    <comment ref="F6" authorId="0" shapeId="0" xr:uid="{1604FB90-0D99-4B4C-9CF3-8D17E94C443F}">
      <text>
        <r>
          <rPr>
            <b/>
            <sz val="9"/>
            <color indexed="81"/>
            <rFont val="Segoe UI"/>
            <family val="2"/>
          </rPr>
          <t>ESLINGA 3,90M</t>
        </r>
      </text>
    </comment>
    <comment ref="B7" authorId="0" shapeId="0" xr:uid="{9C4A4BD2-CCDB-4B32-8765-9A16F4CA7855}">
      <text>
        <r>
          <rPr>
            <b/>
            <sz val="9"/>
            <color indexed="81"/>
            <rFont val="Segoe UI"/>
            <family val="2"/>
          </rPr>
          <t>RETORNOU DO MV30 DIA 16/02/25 - PROCESSO 6674</t>
        </r>
      </text>
    </comment>
    <comment ref="B8" authorId="1" shapeId="0" xr:uid="{F88A5871-E2D5-41F6-B749-637367C128B6}">
      <text>
        <r>
          <rPr>
            <b/>
            <sz val="9"/>
            <color indexed="81"/>
            <rFont val="Segoe UI"/>
            <family val="2"/>
          </rPr>
          <t>RETORNO DO FPSO VITORIA -
DIA 09/03/26 - PROCESSO: 6775</t>
        </r>
      </text>
    </comment>
    <comment ref="D8" authorId="0" shapeId="0" xr:uid="{E5D100C7-6876-4111-AB6F-F5829F8D77DB}">
      <text>
        <r>
          <rPr>
            <b/>
            <sz val="9"/>
            <color indexed="81"/>
            <rFont val="Segoe UI"/>
            <family val="2"/>
          </rPr>
          <t>AGUAD.  SAIDA
PROCESSO: 6891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Logística</author>
    <author>LOGISTICA</author>
  </authors>
  <commentList>
    <comment ref="B2" authorId="0" shapeId="0" xr:uid="{FAA7CF21-C45F-4A82-B5E4-C029C882E3AA}">
      <text>
        <r>
          <rPr>
            <b/>
            <sz val="9"/>
            <color indexed="81"/>
            <rFont val="Segoe UI"/>
            <family val="2"/>
          </rPr>
          <t>RETORNOU DIA 23/10/23 - ESS</t>
        </r>
      </text>
    </comment>
    <comment ref="B3" authorId="0" shapeId="0" xr:uid="{2B410FCA-7A94-45E6-ACDE-EA0E812DCC4F}">
      <text>
        <r>
          <rPr>
            <b/>
            <sz val="9"/>
            <color indexed="81"/>
            <rFont val="Segoe UI"/>
            <family val="2"/>
          </rPr>
          <t>RETORNOU DIA 30/08/24 - PEREGRINO - PROCESSO: 6365</t>
        </r>
      </text>
    </comment>
    <comment ref="B4" authorId="0" shapeId="0" xr:uid="{3CBF6091-D415-40F8-AE65-F722F558A676}">
      <text>
        <r>
          <rPr>
            <b/>
            <sz val="9"/>
            <color indexed="81"/>
            <rFont val="Segoe UI"/>
            <family val="2"/>
          </rPr>
          <t>RETORNOU DIA 06/11/23 - ESS</t>
        </r>
      </text>
    </comment>
    <comment ref="B5" authorId="1" shapeId="0" xr:uid="{4F7D8352-9493-418A-AE39-768BE80340A9}">
      <text>
        <r>
          <rPr>
            <b/>
            <sz val="9"/>
            <color indexed="81"/>
            <rFont val="Segoe UI"/>
            <family val="2"/>
          </rPr>
          <t>RETORNOU DIA 02/09/25 - SEPETIBA - PROCESSO: 6706</t>
        </r>
      </text>
    </comment>
    <comment ref="D5" authorId="1" shapeId="0" xr:uid="{36E240C9-148C-46B9-8863-521CD68A3269}">
      <text>
        <r>
          <rPr>
            <b/>
            <sz val="9"/>
            <color indexed="81"/>
            <rFont val="Segoe UI"/>
            <family val="2"/>
          </rPr>
          <t>AGUARD. SAÍDA - PROCESSO 6846</t>
        </r>
      </text>
    </comment>
    <comment ref="B6" authorId="1" shapeId="0" xr:uid="{6B4B7171-CD29-4CF6-962A-1636F27E960F}">
      <text>
        <r>
          <rPr>
            <b/>
            <sz val="9"/>
            <color indexed="81"/>
            <rFont val="Segoe UI"/>
            <family val="2"/>
          </rPr>
          <t xml:space="preserve">RETORNO DO SAQUAREMA - DIA 05/08/25-  PROCESSO 6619
</t>
        </r>
      </text>
    </comment>
    <comment ref="F6" authorId="1" shapeId="0" xr:uid="{DD7BF68F-68B1-4B3C-9632-67C0C8F2068F}">
      <text>
        <r>
          <rPr>
            <b/>
            <sz val="9"/>
            <color indexed="81"/>
            <rFont val="Segoe UI"/>
            <family val="2"/>
          </rPr>
          <t>ESLINGA 3,00M</t>
        </r>
      </text>
    </comment>
    <comment ref="B9" authorId="1" shapeId="0" xr:uid="{363B827D-DBE2-4308-B1A4-C2AC416C26A1}">
      <text>
        <r>
          <rPr>
            <b/>
            <sz val="9"/>
            <color indexed="81"/>
            <rFont val="Segoe UI"/>
            <family val="2"/>
          </rPr>
          <t>RETORNO DO ESS - DIA 10/03/25-  PROCESSO 6575</t>
        </r>
      </text>
    </comment>
    <comment ref="D9" authorId="1" shapeId="0" xr:uid="{443DCC93-054A-438C-9D35-1A3785606DC6}">
      <text>
        <r>
          <rPr>
            <b/>
            <sz val="9"/>
            <color indexed="81"/>
            <rFont val="Segoe UI"/>
            <family val="2"/>
          </rPr>
          <t>SAIDA 08/05/26 
PROCESSO: 6798</t>
        </r>
      </text>
    </comment>
    <comment ref="F9" authorId="1" shapeId="0" xr:uid="{8A793905-0667-4654-B0E6-3758E3242A83}">
      <text>
        <r>
          <rPr>
            <b/>
            <sz val="9"/>
            <color indexed="81"/>
            <rFont val="Segoe UI"/>
            <family val="2"/>
          </rPr>
          <t>ESLINGA 3,50M</t>
        </r>
      </text>
    </comment>
    <comment ref="B10" authorId="0" shapeId="0" xr:uid="{B3348AD7-6DEE-4DC0-99A5-103B37750390}">
      <text>
        <r>
          <rPr>
            <b/>
            <sz val="9"/>
            <color indexed="81"/>
            <rFont val="Segoe UI"/>
            <family val="2"/>
          </rPr>
          <t>RETORNOU DO SAQUAREMA DIA 28/03/25 - PROCESSO: 6512</t>
        </r>
      </text>
    </comment>
    <comment ref="D10" authorId="1" shapeId="0" xr:uid="{39E6F7C3-81DF-48C8-B67D-FF0D16AC7102}">
      <text>
        <r>
          <rPr>
            <b/>
            <sz val="9"/>
            <color indexed="81"/>
            <rFont val="Segoe UI"/>
            <family val="2"/>
          </rPr>
          <t>AGUARD. SAÍDA - PROCESSO 6707</t>
        </r>
      </text>
    </comment>
    <comment ref="F10" authorId="1" shapeId="0" xr:uid="{6E7A35D7-B8DA-4B18-BD86-545F75A74DA2}">
      <text>
        <r>
          <rPr>
            <b/>
            <sz val="9"/>
            <color indexed="81"/>
            <rFont val="Segoe UI"/>
            <family val="2"/>
          </rPr>
          <t>ESLINGA 3,20M</t>
        </r>
      </text>
    </comment>
    <comment ref="B11" authorId="1" shapeId="0" xr:uid="{35393D01-21BF-4FE4-8CB3-23D2D8198DEA}">
      <text>
        <r>
          <rPr>
            <b/>
            <sz val="9"/>
            <color indexed="81"/>
            <rFont val="Segoe UI"/>
            <family val="2"/>
          </rPr>
          <t>RETORNOU DIA 02/09/25 - SEPETIBA - PROCESSO: 6706</t>
        </r>
      </text>
    </comment>
    <comment ref="D11" authorId="1" shapeId="0" xr:uid="{63CD4B63-900F-4F75-A7F5-4FC2367698AA}">
      <text>
        <r>
          <rPr>
            <b/>
            <sz val="9"/>
            <color indexed="81"/>
            <rFont val="Segoe UI"/>
            <family val="2"/>
          </rPr>
          <t>SAIDA 04/03/26 
PROCESSO: 6807</t>
        </r>
      </text>
    </comment>
    <comment ref="F11" authorId="1" shapeId="0" xr:uid="{462D1A6F-EE89-434F-A987-7B2019BBF055}">
      <text>
        <r>
          <rPr>
            <b/>
            <sz val="9"/>
            <color indexed="81"/>
            <rFont val="Segoe UI"/>
            <family val="2"/>
          </rPr>
          <t>ESLINGA 2,80M</t>
        </r>
      </text>
    </comment>
    <comment ref="B12" authorId="0" shapeId="0" xr:uid="{1C099C5F-A491-408D-BEED-650D9558C294}">
      <text>
        <r>
          <rPr>
            <b/>
            <sz val="9"/>
            <color indexed="81"/>
            <rFont val="Segoe UI"/>
            <family val="2"/>
          </rPr>
          <t>RETORNOU DO TRIDENT - PPM1 DIA 21/10/24 - PROCESSO 6445</t>
        </r>
      </text>
    </comment>
    <comment ref="D12" authorId="1" shapeId="0" xr:uid="{E0CC1910-9D47-4250-9BE9-C79BE7B8C5E0}">
      <text>
        <r>
          <rPr>
            <b/>
            <sz val="9"/>
            <color indexed="81"/>
            <rFont val="Segoe UI"/>
            <family val="2"/>
          </rPr>
          <t>AGUARD. SAIDA
PROCESSO: 6308</t>
        </r>
      </text>
    </comment>
    <comment ref="F12" authorId="1" shapeId="0" xr:uid="{B8E1ED9E-886B-4408-AECB-D2F4FF69142F}">
      <text>
        <r>
          <rPr>
            <b/>
            <sz val="9"/>
            <color indexed="81"/>
            <rFont val="Segoe UI"/>
            <family val="2"/>
          </rPr>
          <t xml:space="preserve">ESLINGA 3,5M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Logística</author>
    <author>LOGISTICA</author>
  </authors>
  <commentList>
    <comment ref="B2" authorId="0" shapeId="0" xr:uid="{9B12418D-6C2E-466E-9543-9CC046096590}">
      <text>
        <r>
          <rPr>
            <b/>
            <sz val="9"/>
            <color indexed="81"/>
            <rFont val="Segoe UI"/>
            <family val="2"/>
          </rPr>
          <t>RETORNOU DO MV22
DIA 31/03/25 - PROCESSO 6578</t>
        </r>
      </text>
    </comment>
    <comment ref="D2" authorId="1" shapeId="0" xr:uid="{BC8F4EB8-711E-4985-BB5D-D41FC060436B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B3" authorId="1" shapeId="0" xr:uid="{BC7AD27B-D2D0-4E5B-8BA4-6B59E9428756}">
      <text>
        <r>
          <rPr>
            <b/>
            <sz val="9"/>
            <color indexed="81"/>
            <rFont val="Segoe UI"/>
            <family val="2"/>
          </rPr>
          <t>RETORNOU DIA 29/01/26 - MARICA - PROCESSO: 6731</t>
        </r>
      </text>
    </comment>
    <comment ref="D3" authorId="1" shapeId="0" xr:uid="{F3FF03C5-4DD6-48C3-9F1C-74B8C0E8CCAC}">
      <text>
        <r>
          <rPr>
            <b/>
            <sz val="9"/>
            <color indexed="81"/>
            <rFont val="Segoe UI"/>
            <family val="2"/>
          </rPr>
          <t>AGUARD. SAÍDA - PROCESSO 6863</t>
        </r>
      </text>
    </comment>
    <comment ref="F3" authorId="1" shapeId="0" xr:uid="{2DA4F884-C30E-44D9-8066-A9354EDD0D78}">
      <text>
        <r>
          <rPr>
            <b/>
            <sz val="9"/>
            <color indexed="81"/>
            <rFont val="Segoe UI"/>
            <family val="2"/>
          </rPr>
          <t>ESLINGA 4,50M</t>
        </r>
      </text>
    </comment>
    <comment ref="B4" authorId="1" shapeId="0" xr:uid="{3071990F-880B-49F8-937E-BBAD9BB56A05}">
      <text>
        <r>
          <rPr>
            <b/>
            <sz val="9"/>
            <color indexed="81"/>
            <rFont val="Segoe UI"/>
            <family val="2"/>
          </rPr>
          <t>RETORNOU DIA  03/02/26 - PROCESSO: 6674 - MV30</t>
        </r>
      </text>
    </comment>
    <comment ref="F4" authorId="1" shapeId="0" xr:uid="{7AFD6B18-C965-4624-9B82-5887F813A3C9}">
      <text>
        <r>
          <rPr>
            <b/>
            <sz val="9"/>
            <color indexed="81"/>
            <rFont val="Segoe UI"/>
            <family val="2"/>
          </rPr>
          <t>ESLINGA 4,00M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</author>
    <author>Logística</author>
  </authors>
  <commentList>
    <comment ref="C2" authorId="0" shapeId="0" xr:uid="{101A8C51-CD5E-436A-8805-70A16DC278AE}">
      <text>
        <r>
          <rPr>
            <b/>
            <sz val="9"/>
            <color indexed="81"/>
            <rFont val="Segoe UI"/>
            <family val="2"/>
          </rPr>
          <t>RETORNOU DIA  03/02/26 - PROCESSO: 6674 - MV30</t>
        </r>
      </text>
    </comment>
    <comment ref="C3" authorId="0" shapeId="0" xr:uid="{F558FCAE-59B3-4622-A44A-754384C6710E}">
      <text>
        <r>
          <rPr>
            <b/>
            <sz val="9"/>
            <color indexed="81"/>
            <rFont val="Segoe UI"/>
            <family val="2"/>
          </rPr>
          <t>RETORNOU DIA 23/02/26 - MARICA - PROCESSO: 6731</t>
        </r>
      </text>
    </comment>
    <comment ref="C4" authorId="0" shapeId="0" xr:uid="{6B1F5518-D75C-45EF-BD62-F2ECA15DADDA}">
      <text>
        <r>
          <rPr>
            <b/>
            <sz val="9"/>
            <color indexed="81"/>
            <rFont val="Segoe UI"/>
            <family val="2"/>
          </rPr>
          <t>RETORNO 10/02/26 - MARICA PROCESSO: 6799</t>
        </r>
      </text>
    </comment>
    <comment ref="E4" authorId="0" shapeId="0" xr:uid="{0EA8C47F-D944-4B6D-A641-1D3A6768CE92}">
      <text>
        <r>
          <rPr>
            <b/>
            <sz val="9"/>
            <color indexed="81"/>
            <rFont val="Segoe UI"/>
            <family val="2"/>
          </rPr>
          <t>AGUARD. SAÍDA - PROCESSO 6847</t>
        </r>
      </text>
    </comment>
    <comment ref="C5" authorId="0" shapeId="0" xr:uid="{703E4DB2-554C-4864-B089-24292B45D26E}">
      <text>
        <r>
          <rPr>
            <b/>
            <sz val="9"/>
            <color indexed="81"/>
            <rFont val="Segoe UI"/>
            <family val="2"/>
          </rPr>
          <t>RETORNOU DIA  03/02/26 - PROCESSO: 6674 - MV30</t>
        </r>
      </text>
    </comment>
    <comment ref="C6" authorId="0" shapeId="0" xr:uid="{38CFF883-5031-4C85-AFA9-D5EE0B0B86FD}">
      <text>
        <r>
          <rPr>
            <b/>
            <sz val="9"/>
            <color indexed="81"/>
            <rFont val="Segoe UI"/>
            <family val="2"/>
          </rPr>
          <t>RETORNOU DO PPM1 DIA 17/10/25 - PROCESSO 6693</t>
        </r>
      </text>
    </comment>
    <comment ref="E6" authorId="0" shapeId="0" xr:uid="{2A5EDEC4-7421-42E4-8C45-9EAD0C8E1B8B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C7" authorId="0" shapeId="0" xr:uid="{72250EB5-2DB8-4B4D-92EF-38758D8C46B7}">
      <text>
        <r>
          <rPr>
            <b/>
            <sz val="9"/>
            <color indexed="81"/>
            <rFont val="Segoe UI"/>
            <family val="2"/>
          </rPr>
          <t>RETORNO DO MV24 - DIA 17/04/26 -  PROCESSO 6754</t>
        </r>
      </text>
    </comment>
    <comment ref="E7" authorId="0" shapeId="0" xr:uid="{2E7848A8-04B8-4ADF-A2DE-EA12B7E7FBBC}">
      <text>
        <r>
          <rPr>
            <b/>
            <sz val="9"/>
            <color indexed="81"/>
            <rFont val="Segoe UI"/>
            <family val="2"/>
          </rPr>
          <t>AGUARD.SAÍDA - PROCESSO 6707</t>
        </r>
      </text>
    </comment>
    <comment ref="C8" authorId="1" shapeId="0" xr:uid="{D78CF8CB-D7CB-496E-A07B-43E936042EFF}">
      <text>
        <r>
          <rPr>
            <b/>
            <sz val="9"/>
            <color indexed="81"/>
            <rFont val="Segoe UI"/>
            <family val="2"/>
          </rPr>
          <t>RETORNOU DO MV27 DIA 28/11/2025 - PROCESSO 6718</t>
        </r>
      </text>
    </comment>
    <comment ref="E8" authorId="0" shapeId="0" xr:uid="{A00D2686-5E44-4748-BA78-13DA2A3CEDC3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C9" authorId="0" shapeId="0" xr:uid="{8F54C9D4-7C6E-4645-AED8-702FDFE70F1A}">
      <text>
        <r>
          <rPr>
            <b/>
            <sz val="9"/>
            <color indexed="81"/>
            <rFont val="Segoe UI"/>
            <family val="2"/>
          </rPr>
          <t>RETORNOU DIA 02/12/25 - ILHA BELA - PROCESSO: 6695</t>
        </r>
      </text>
    </comment>
    <comment ref="E9" authorId="0" shapeId="0" xr:uid="{30D1D34B-F5FD-4914-A185-16E9CA94D4AF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A10" authorId="1" shapeId="0" xr:uid="{D0C14ACE-3A1D-42E7-8E5C-CA4BC379D67C}">
      <text>
        <r>
          <rPr>
            <b/>
            <sz val="9"/>
            <color indexed="81"/>
            <rFont val="Segoe UI"/>
            <family val="2"/>
          </rPr>
          <t>COM PRATELEIRA - FIXA</t>
        </r>
      </text>
    </comment>
    <comment ref="C10" authorId="0" shapeId="0" xr:uid="{C055C418-F792-4E27-92DE-D8552831653C}">
      <text>
        <r>
          <rPr>
            <b/>
            <sz val="9"/>
            <color indexed="81"/>
            <rFont val="Segoe UI"/>
            <family val="2"/>
          </rPr>
          <t>RETORNOU DO SAQUAREMA - 
PROCESSO: 6677- DIA 14/07/25</t>
        </r>
      </text>
    </comment>
    <comment ref="E10" authorId="0" shapeId="0" xr:uid="{C89D73BC-FC6D-4C6D-992D-433D910B4B50}">
      <text>
        <r>
          <rPr>
            <b/>
            <sz val="9"/>
            <color indexed="81"/>
            <rFont val="Segoe UI"/>
            <family val="2"/>
          </rPr>
          <t>SAIDA 04/03/26 
PROCESSO: 6807</t>
        </r>
      </text>
    </comment>
    <comment ref="C11" authorId="0" shapeId="0" xr:uid="{F3D72263-4FDB-487D-BE11-98812EAA4A57}">
      <text>
        <r>
          <rPr>
            <b/>
            <sz val="9"/>
            <color indexed="81"/>
            <rFont val="Segoe UI"/>
            <family val="2"/>
          </rPr>
          <t>RETORNOU DIA 09/12/25 - ILHA BELA - PROCESSO: 6695</t>
        </r>
      </text>
    </comment>
    <comment ref="E11" authorId="0" shapeId="0" xr:uid="{7A684997-8A10-49A4-8A64-E3F03B0F4FE6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C12" authorId="0" shapeId="0" xr:uid="{4B62482A-27EC-4E0C-8915-ED1118EDEF20}">
      <text>
        <r>
          <rPr>
            <b/>
            <sz val="9"/>
            <color indexed="81"/>
            <rFont val="Segoe UI"/>
            <family val="2"/>
          </rPr>
          <t>RETORNOU DO ESS 
DIA 06/03/26 - PROCESSO 6666</t>
        </r>
      </text>
    </comment>
    <comment ref="E12" authorId="0" shapeId="0" xr:uid="{4746F444-BE2C-4A91-ACF2-B90129A14352}">
      <text>
        <r>
          <rPr>
            <b/>
            <sz val="9"/>
            <color indexed="81"/>
            <rFont val="Segoe UI"/>
            <family val="2"/>
          </rPr>
          <t>AGUARD.SAÍDA - PROCESSO 6707</t>
        </r>
      </text>
    </comment>
    <comment ref="C13" authorId="1" shapeId="0" xr:uid="{7F0BA440-195F-46AA-8F72-56F980FF66F0}">
      <text>
        <r>
          <rPr>
            <b/>
            <sz val="9"/>
            <color indexed="81"/>
            <rFont val="Segoe UI"/>
            <family val="2"/>
          </rPr>
          <t>RETORNO DO SAQUAREMA - DIA 06/08/25 - PROCESSO: 6651</t>
        </r>
      </text>
    </comment>
    <comment ref="C14" authorId="0" shapeId="0" xr:uid="{B5354A9D-A4D0-4DB2-BCDE-EE85DD781C1A}">
      <text>
        <r>
          <rPr>
            <b/>
            <sz val="9"/>
            <color indexed="81"/>
            <rFont val="Segoe UI"/>
            <family val="2"/>
          </rPr>
          <t>RETORNO DO P-08 - DIA 13/06/25-  PROCESSO 6636</t>
        </r>
      </text>
    </comment>
    <comment ref="C15" authorId="0" shapeId="0" xr:uid="{1AFCA6BF-A619-4AC4-A7BF-48363A5FFC82}">
      <text>
        <r>
          <rPr>
            <b/>
            <sz val="9"/>
            <color indexed="81"/>
            <rFont val="Segoe UI"/>
            <family val="2"/>
          </rPr>
          <t>RETORNOU DIA 02/12/25 - ILHA BELA - PROCESSO: 6695</t>
        </r>
      </text>
    </comment>
    <comment ref="E15" authorId="0" shapeId="0" xr:uid="{3BCC16FC-11E3-4F79-971E-9DFA2036FA18}">
      <text>
        <r>
          <rPr>
            <b/>
            <sz val="9"/>
            <color indexed="81"/>
            <rFont val="Segoe UI"/>
            <family val="2"/>
          </rPr>
          <t>AGUAD.  SAIDA
PROCESSO: 6891</t>
        </r>
      </text>
    </comment>
    <comment ref="C16" authorId="0" shapeId="0" xr:uid="{4440B13A-8848-43EC-9524-FE0B896AC9B6}">
      <text>
        <r>
          <rPr>
            <b/>
            <sz val="9"/>
            <color indexed="81"/>
            <rFont val="Segoe UI"/>
            <family val="2"/>
          </rPr>
          <t>RETORNOU DIA 02/03/26 - MARICA - PROCESSO: 6666</t>
        </r>
      </text>
    </comment>
    <comment ref="E16" authorId="0" shapeId="0" xr:uid="{06E2E785-BECE-4A13-A4B9-78D456A73DE0}">
      <text>
        <r>
          <rPr>
            <b/>
            <sz val="9"/>
            <color indexed="81"/>
            <rFont val="Segoe UI"/>
            <family val="2"/>
          </rPr>
          <t>SAIDA 17/03/26
PROCESSO: 6775</t>
        </r>
      </text>
    </comment>
    <comment ref="C17" authorId="0" shapeId="0" xr:uid="{CD11EC24-56B9-4888-B4F9-F622161A6DE3}">
      <text>
        <r>
          <rPr>
            <b/>
            <sz val="9"/>
            <color indexed="81"/>
            <rFont val="Segoe UI"/>
            <family val="2"/>
          </rPr>
          <t>RETORNOU DO ESS 
DIA 06/03/26 - PROCESSO 6666</t>
        </r>
      </text>
    </comment>
    <comment ref="C18" authorId="0" shapeId="0" xr:uid="{5C7CFEB3-2313-439E-B2AA-B0323FBDBE41}">
      <text>
        <r>
          <rPr>
            <b/>
            <sz val="9"/>
            <color indexed="81"/>
            <rFont val="Segoe UI"/>
            <family val="2"/>
          </rPr>
          <t>RETORNOU DIA 09/12/25 - ILHA BELA - PROCESSO: 6695</t>
        </r>
      </text>
    </comment>
    <comment ref="A19" authorId="0" shapeId="0" xr:uid="{0A1B744E-9A98-4D91-84D2-00CCA0F8DB0C}">
      <text>
        <r>
          <rPr>
            <b/>
            <sz val="9"/>
            <color indexed="81"/>
            <rFont val="Segoe UI"/>
            <family val="2"/>
          </rPr>
          <t>CONTAINER COM ARMARIO</t>
        </r>
      </text>
    </comment>
    <comment ref="C19" authorId="0" shapeId="0" xr:uid="{FD048233-C0AB-4FE4-B2CC-5F00799B95EB}">
      <text>
        <r>
          <rPr>
            <b/>
            <sz val="9"/>
            <color indexed="81"/>
            <rFont val="Segoe UI"/>
            <family val="2"/>
          </rPr>
          <t>RETORNOU DO MV30 DIA 16/02/25 - PROCESSO 6674</t>
        </r>
      </text>
    </comment>
    <comment ref="E19" authorId="0" shapeId="0" xr:uid="{67FE7EBF-14EF-41A1-BAC3-7E56A6CCA2B6}">
      <text>
        <r>
          <rPr>
            <b/>
            <sz val="9"/>
            <color indexed="81"/>
            <rFont val="Segoe UI"/>
            <family val="2"/>
          </rPr>
          <t>AGUARD. SAÍDA - PROCESSO 6863</t>
        </r>
      </text>
    </comment>
    <comment ref="A20" authorId="0" shapeId="0" xr:uid="{DD64BB9D-7ADE-4090-AA76-391D9D6F761B}">
      <text>
        <r>
          <rPr>
            <b/>
            <sz val="9"/>
            <color indexed="81"/>
            <rFont val="Segoe UI"/>
            <family val="2"/>
          </rPr>
          <t>CONTAINER COM ARMARIO</t>
        </r>
      </text>
    </comment>
    <comment ref="C20" authorId="0" shapeId="0" xr:uid="{9D891CD7-730A-4CFD-B9EF-AF16888450E4}">
      <text>
        <r>
          <rPr>
            <b/>
            <sz val="9"/>
            <color indexed="81"/>
            <rFont val="Segoe UI"/>
            <family val="2"/>
          </rPr>
          <t>RETORNOU DO MDdC DIA 18/08/25 - PROCESSO 6615</t>
        </r>
      </text>
    </comment>
    <comment ref="E20" authorId="0" shapeId="0" xr:uid="{67209165-C116-4A5A-B26B-2F585C790612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C21" authorId="0" shapeId="0" xr:uid="{5398C017-43D8-49B2-841F-1C1197252DB7}">
      <text>
        <r>
          <rPr>
            <b/>
            <sz val="9"/>
            <color indexed="81"/>
            <rFont val="Segoe UI"/>
            <family val="2"/>
          </rPr>
          <t>RETORNO 10/02/26 - MARICA PROCESSO: 6799</t>
        </r>
      </text>
    </comment>
    <comment ref="E21" authorId="0" shapeId="0" xr:uid="{18BCEAD9-9C2D-45B0-A0BC-A728B7DD0620}">
      <text>
        <r>
          <rPr>
            <b/>
            <sz val="9"/>
            <color indexed="81"/>
            <rFont val="Segoe UI"/>
            <family val="2"/>
          </rPr>
          <t>SAIDA 28/04/25
PROCESSO: 6127 / 6130
*****
SUBSTITUINDO CONTAINER A BORDO DNVU105220-9</t>
        </r>
      </text>
    </comment>
    <comment ref="C22" authorId="1" shapeId="0" xr:uid="{3066C9E4-F3C6-44D4-8328-2E711A6C9730}">
      <text>
        <r>
          <rPr>
            <b/>
            <sz val="9"/>
            <color indexed="81"/>
            <rFont val="Segoe UI"/>
            <family val="2"/>
          </rPr>
          <t>RETORNOU DO MV27 DIA 28/11/2025 - PROCESSO 6718</t>
        </r>
      </text>
    </comment>
    <comment ref="A23" authorId="0" shapeId="0" xr:uid="{779E727D-A08C-4F6B-A0BE-21D31E35ABA2}">
      <text>
        <r>
          <rPr>
            <b/>
            <sz val="9"/>
            <color indexed="81"/>
            <rFont val="Segoe UI"/>
            <family val="2"/>
          </rPr>
          <t>COM PRATELEIRA</t>
        </r>
      </text>
    </comment>
    <comment ref="C23" authorId="0" shapeId="0" xr:uid="{6009E4A5-AC81-4197-A4EF-1ADD9ABF8E21}">
      <text>
        <r>
          <rPr>
            <b/>
            <sz val="9"/>
            <color indexed="81"/>
            <rFont val="Segoe UI"/>
            <family val="2"/>
          </rPr>
          <t>RETORNOU DO ESS DIA 22/02/25 - PROCESSO 6575</t>
        </r>
      </text>
    </comment>
    <comment ref="E23" authorId="0" shapeId="0" xr:uid="{D8956ADD-22F7-42AA-AE66-0B9A768B1593}">
      <text>
        <r>
          <rPr>
            <b/>
            <sz val="9"/>
            <color indexed="81"/>
            <rFont val="Segoe UI"/>
            <family val="2"/>
          </rPr>
          <t>AGUARD.SAÍDA - PROCESSO 6707</t>
        </r>
      </text>
    </comment>
    <comment ref="C24" authorId="0" shapeId="0" xr:uid="{C3F56384-172E-4752-83F1-6BA630A67452}">
      <text>
        <r>
          <rPr>
            <b/>
            <sz val="9"/>
            <color indexed="81"/>
            <rFont val="Segoe UI"/>
            <family val="2"/>
          </rPr>
          <t>RETORNOU DIA 02/09/25 - SEPETIBA - PROCESSO: 6715</t>
        </r>
      </text>
    </comment>
    <comment ref="E24" authorId="0" shapeId="0" xr:uid="{3EF7F210-C3A4-4945-8EA3-643273381BDA}">
      <text>
        <r>
          <rPr>
            <b/>
            <sz val="9"/>
            <color indexed="81"/>
            <rFont val="Segoe UI"/>
            <family val="2"/>
          </rPr>
          <t>AGUARD. SAÍDA - PROCESSO 6863</t>
        </r>
      </text>
    </comment>
    <comment ref="C25" authorId="0" shapeId="0" xr:uid="{566DA3C9-8A25-4007-B615-3265E8C068B1}">
      <text>
        <r>
          <rPr>
            <b/>
            <sz val="9"/>
            <color indexed="81"/>
            <rFont val="Segoe UI"/>
            <family val="2"/>
          </rPr>
          <t>RETORNOU DIA  09/12/25 - PROCESSO: 6718 - MV27</t>
        </r>
      </text>
    </comment>
    <comment ref="E25" authorId="0" shapeId="0" xr:uid="{AF7C7E3F-1A43-436B-BB71-2A2C9A599796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A26" authorId="1" shapeId="0" xr:uid="{E563D966-6EE1-4169-887E-1C74F9EA3E86}">
      <text>
        <r>
          <rPr>
            <b/>
            <sz val="9"/>
            <color indexed="81"/>
            <rFont val="Segoe UI"/>
            <family val="2"/>
          </rPr>
          <t>COM PRATELEIRA</t>
        </r>
      </text>
    </comment>
    <comment ref="C26" authorId="0" shapeId="0" xr:uid="{0BAE1D37-A586-4498-B377-C4A4893E71BE}">
      <text>
        <r>
          <rPr>
            <b/>
            <sz val="9"/>
            <color indexed="81"/>
            <rFont val="Segoe UI"/>
            <family val="2"/>
          </rPr>
          <t>RETORNOU DIA 02/09/25 - SEPETIBA - PROCESSO: 6706</t>
        </r>
      </text>
    </comment>
    <comment ref="E26" authorId="0" shapeId="0" xr:uid="{CB90AAA9-F352-4AA7-AA68-1BA46EAA3136}">
      <text>
        <r>
          <rPr>
            <b/>
            <sz val="9"/>
            <color indexed="81"/>
            <rFont val="Segoe UI"/>
            <family val="2"/>
          </rPr>
          <t>AGUARD. SAÍDA - PROCESSO 6846</t>
        </r>
      </text>
    </comment>
    <comment ref="C27" authorId="1" shapeId="0" xr:uid="{3616B3E4-F8F1-47EF-B7B5-F1DB88E5C1E8}">
      <text>
        <r>
          <rPr>
            <b/>
            <sz val="10"/>
            <color indexed="81"/>
            <rFont val="Segoe UI"/>
            <family val="2"/>
          </rPr>
          <t>RETORNO DO SAQUAREMA - DIA 25/10/24 - PROCESSO: 6481</t>
        </r>
      </text>
    </comment>
    <comment ref="E27" authorId="0" shapeId="0" xr:uid="{D3A4EDD7-9238-48AD-B25C-307EF1BF7177}">
      <text>
        <r>
          <rPr>
            <b/>
            <sz val="9"/>
            <color indexed="81"/>
            <rFont val="Segoe UI"/>
            <family val="2"/>
          </rPr>
          <t>SAIDA 08/05/26 
PROCESSO: 6798</t>
        </r>
      </text>
    </comment>
    <comment ref="C28" authorId="1" shapeId="0" xr:uid="{BEA8D26C-207A-4F82-9C26-0CD4BD7F69BE}">
      <text>
        <r>
          <rPr>
            <b/>
            <sz val="10"/>
            <color indexed="81"/>
            <rFont val="Segoe UI"/>
            <family val="2"/>
          </rPr>
          <t>RETORNO DO SAQUAREMA - DIA 08/05/24.</t>
        </r>
      </text>
    </comment>
    <comment ref="E28" authorId="0" shapeId="0" xr:uid="{86AE39E1-E80A-42BA-9F83-6E7C229CD352}">
      <text>
        <r>
          <rPr>
            <b/>
            <sz val="9"/>
            <color indexed="81"/>
            <rFont val="Segoe UI"/>
            <family val="2"/>
          </rPr>
          <t>AGUARD. SAÍDA - PROCESSO 6863</t>
        </r>
      </text>
    </comment>
    <comment ref="C29" authorId="1" shapeId="0" xr:uid="{C4018345-C367-4AF6-8B03-41CC99085C90}">
      <text>
        <r>
          <rPr>
            <b/>
            <sz val="9"/>
            <color indexed="81"/>
            <rFont val="Segoe UI"/>
            <family val="2"/>
          </rPr>
          <t>RETORNO DO MV32 - DIA 10/12/25 - PROCESSO: 6711</t>
        </r>
      </text>
    </comment>
    <comment ref="C30" authorId="0" shapeId="0" xr:uid="{F860B388-76BD-4DB8-AB8A-DE1642DFFC5D}">
      <text>
        <r>
          <rPr>
            <b/>
            <sz val="9"/>
            <color indexed="81"/>
            <rFont val="Segoe UI"/>
            <family val="2"/>
          </rPr>
          <t>RETORNOU DIA  21/05/26 - PROCESSO: 6127 / 6130 - ANCHIETA</t>
        </r>
      </text>
    </comment>
    <comment ref="A31" authorId="1" shapeId="0" xr:uid="{309364EE-4964-4E63-9B31-3615CFC3D0C2}">
      <text>
        <r>
          <rPr>
            <b/>
            <sz val="9"/>
            <color indexed="81"/>
            <rFont val="Segoe UI"/>
            <family val="2"/>
          </rPr>
          <t>COM PRATELEIRA</t>
        </r>
      </text>
    </comment>
    <comment ref="C31" authorId="0" shapeId="0" xr:uid="{DECDD9D1-C6BE-4A4D-A3F2-797058E16025}">
      <text>
        <r>
          <rPr>
            <b/>
            <sz val="9"/>
            <color indexed="81"/>
            <rFont val="Segoe UI"/>
            <family val="2"/>
          </rPr>
          <t xml:space="preserve">RETORNO DO SAQUAREMA - DIA 05/08/25-  PROCESSO 6619
</t>
        </r>
      </text>
    </comment>
    <comment ref="E31" authorId="0" shapeId="0" xr:uid="{AD7827A0-CBA3-47D6-844C-187B998AE2E7}">
      <text>
        <r>
          <rPr>
            <b/>
            <sz val="9"/>
            <color indexed="81"/>
            <rFont val="Segoe UI"/>
            <family val="2"/>
          </rPr>
          <t>SAIDA 08/05/26 
PROCESSO: 6798</t>
        </r>
      </text>
    </comment>
    <comment ref="C32" authorId="0" shapeId="0" xr:uid="{DC86F958-77D9-4194-AEF9-C3C49A70FCDA}">
      <text>
        <r>
          <rPr>
            <b/>
            <sz val="9"/>
            <color indexed="81"/>
            <rFont val="Segoe UI"/>
            <family val="2"/>
          </rPr>
          <t>RETORNOU DIA  06/04/26 - PROCESSO: 6775 - FPSO VITORIA</t>
        </r>
      </text>
    </comment>
    <comment ref="E32" authorId="0" shapeId="0" xr:uid="{5AB1CD67-5216-4EBB-86C6-C0BC0AA7CF39}">
      <text>
        <r>
          <rPr>
            <b/>
            <sz val="9"/>
            <color indexed="81"/>
            <rFont val="Segoe UI"/>
            <family val="2"/>
          </rPr>
          <t>AGUARD. SAIDA</t>
        </r>
      </text>
    </comment>
    <comment ref="C33" authorId="0" shapeId="0" xr:uid="{B65DDC28-9BF8-4F9E-B478-B3AD94490B33}">
      <text>
        <r>
          <rPr>
            <b/>
            <sz val="9"/>
            <color indexed="81"/>
            <rFont val="Segoe UI"/>
            <family val="2"/>
          </rPr>
          <t>RETORNOU DIA 02/09/25 - SEPETIBA - PROCESSO: 6706</t>
        </r>
      </text>
    </comment>
    <comment ref="C34" authorId="1" shapeId="0" xr:uid="{AC52534D-5631-41A4-A7CD-2476AF9B652D}">
      <text>
        <r>
          <rPr>
            <b/>
            <sz val="9"/>
            <color indexed="81"/>
            <rFont val="Segoe UI"/>
            <family val="2"/>
          </rPr>
          <t>RETORNO DO MV32 - DIA 10/12/25 - PROCESSO: 6711</t>
        </r>
      </text>
    </comment>
    <comment ref="E34" authorId="0" shapeId="0" xr:uid="{ABCDB3DE-A8C3-4C36-87EE-A8DCE5B6B53A}">
      <text>
        <r>
          <rPr>
            <b/>
            <sz val="9"/>
            <color indexed="81"/>
            <rFont val="Segoe UI"/>
            <family val="2"/>
          </rPr>
          <t>AGUARD. SAIDA 
PROCESSO: 6789</t>
        </r>
      </text>
    </comment>
    <comment ref="A35" authorId="1" shapeId="0" xr:uid="{B34052A2-9FF4-4380-8237-93A0169BDAAB}">
      <text>
        <r>
          <rPr>
            <b/>
            <sz val="9"/>
            <color indexed="81"/>
            <rFont val="Segoe UI"/>
            <family val="2"/>
          </rPr>
          <t>COM PRATELEIRA</t>
        </r>
      </text>
    </comment>
    <comment ref="C35" authorId="1" shapeId="0" xr:uid="{56EC36DB-011A-473D-9664-06CC16D6FEF8}">
      <text>
        <r>
          <rPr>
            <b/>
            <sz val="9"/>
            <color indexed="81"/>
            <rFont val="Segoe UI"/>
            <family val="2"/>
          </rPr>
          <t>RETORNO DO ANCHIETA  - DIA 22/10/24 - PROCESSO: 6341</t>
        </r>
      </text>
    </comment>
    <comment ref="C36" authorId="0" shapeId="0" xr:uid="{D27D66B6-6838-47C3-8691-FFF13CAF524C}">
      <text>
        <r>
          <rPr>
            <b/>
            <sz val="9"/>
            <color indexed="81"/>
            <rFont val="Segoe UI"/>
            <family val="2"/>
          </rPr>
          <t>RETORNOU DIA  09/12/25 - PROCESSO: 6718 - MV27</t>
        </r>
      </text>
    </comment>
    <comment ref="A37" authorId="1" shapeId="0" xr:uid="{1D08E046-76F4-469F-A214-CB1A17D29B01}">
      <text>
        <r>
          <rPr>
            <b/>
            <sz val="9"/>
            <color indexed="81"/>
            <rFont val="Segoe UI"/>
            <family val="2"/>
          </rPr>
          <t>CONTAINER COM ARMARIO</t>
        </r>
      </text>
    </comment>
    <comment ref="C37" authorId="0" shapeId="0" xr:uid="{070131A5-F0CB-4797-88FE-611F3E8670A2}">
      <text>
        <r>
          <rPr>
            <b/>
            <sz val="9"/>
            <color indexed="81"/>
            <rFont val="Segoe UI"/>
            <family val="2"/>
          </rPr>
          <t>RETORNOU DIA 25/02/26 - MARICA - PROCESSO: 6731</t>
        </r>
      </text>
    </comment>
    <comment ref="D37" authorId="0" shapeId="0" xr:uid="{6669E81F-771E-4C4F-80E4-9C6E99521B67}">
      <text>
        <r>
          <rPr>
            <b/>
            <sz val="9"/>
            <color indexed="81"/>
            <rFont val="Segoe UI"/>
            <family val="2"/>
          </rPr>
          <t>SAIDA 17/03/26
PROCESSO: 6775</t>
        </r>
      </text>
    </comment>
    <comment ref="E37" authorId="0" shapeId="0" xr:uid="{E6E05743-7AD9-44E1-BC73-19F0B265018B}">
      <text>
        <r>
          <rPr>
            <b/>
            <sz val="9"/>
            <color indexed="81"/>
            <rFont val="Segoe UI"/>
            <family val="2"/>
          </rPr>
          <t>SAIDA 12/05/26</t>
        </r>
      </text>
    </comment>
    <comment ref="C38" authorId="1" shapeId="0" xr:uid="{80FD83BF-01DD-4361-9317-5B06FF9E9BC5}">
      <text>
        <r>
          <rPr>
            <b/>
            <sz val="9"/>
            <color indexed="81"/>
            <rFont val="Segoe UI"/>
            <family val="2"/>
          </rPr>
          <t>RETORNO DO MV32 - DIA 10/12/25 - PROCESSO: 6711</t>
        </r>
      </text>
    </comment>
    <comment ref="C39" authorId="0" shapeId="0" xr:uid="{C367E3C3-82DC-4D68-B601-5036388478D5}">
      <text>
        <r>
          <rPr>
            <b/>
            <sz val="9"/>
            <color indexed="81"/>
            <rFont val="Segoe UI"/>
            <family val="2"/>
          </rPr>
          <t>RETORNOU DIA 02/12/25 - ILHA BELA - PROCESSO: 6695</t>
        </r>
      </text>
    </comment>
    <comment ref="E39" authorId="0" shapeId="0" xr:uid="{693F25EB-84F4-44AE-9F98-E1D2FFF42C13}">
      <text>
        <r>
          <rPr>
            <b/>
            <sz val="9"/>
            <color indexed="81"/>
            <rFont val="Segoe UI"/>
            <family val="2"/>
          </rPr>
          <t>AGUARD. SAÍDA - PROCESSO 6846</t>
        </r>
      </text>
    </comment>
    <comment ref="A40" authorId="0" shapeId="0" xr:uid="{86B5B151-8EAC-4157-9B54-E79078421D53}">
      <text>
        <r>
          <rPr>
            <b/>
            <sz val="9"/>
            <color indexed="81"/>
            <rFont val="Segoe UI"/>
            <family val="2"/>
          </rPr>
          <t>COM PRATELEIRA</t>
        </r>
      </text>
    </comment>
    <comment ref="C40" authorId="0" shapeId="0" xr:uid="{6D720A66-1227-4237-BFC2-4C218AA0E2B6}">
      <text>
        <r>
          <rPr>
            <b/>
            <sz val="9"/>
            <color indexed="81"/>
            <rFont val="Segoe UI"/>
            <family val="2"/>
          </rPr>
          <t>RETORNOU DO ESS - 
PROCESSO: 6575- DIA 01/03/25</t>
        </r>
      </text>
    </comment>
    <comment ref="E40" authorId="0" shapeId="0" xr:uid="{077E32AF-4F15-413D-9B16-414D71420E2E}">
      <text>
        <r>
          <rPr>
            <b/>
            <sz val="9"/>
            <color indexed="81"/>
            <rFont val="Segoe UI"/>
            <family val="2"/>
          </rPr>
          <t>SAIDA 04/03/26 
PROCESSO: 6807</t>
        </r>
      </text>
    </comment>
    <comment ref="C41" authorId="1" shapeId="0" xr:uid="{760D6F9B-B36F-4935-B051-92C6F7376DF5}">
      <text>
        <r>
          <rPr>
            <b/>
            <sz val="9"/>
            <color indexed="81"/>
            <rFont val="Segoe UI"/>
            <family val="2"/>
          </rPr>
          <t>RETORNOU DO MV27 DIA 27/11/2025 - PROCESSO 6718</t>
        </r>
      </text>
    </comment>
    <comment ref="E41" authorId="0" shapeId="0" xr:uid="{2083BD5D-A5BB-4F7E-B312-80B319E4AACE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C42" authorId="1" shapeId="0" xr:uid="{FD605CF8-DB62-4F00-A5C9-A55729497D88}">
      <text>
        <r>
          <rPr>
            <b/>
            <sz val="9"/>
            <color indexed="81"/>
            <rFont val="Segoe UI"/>
            <family val="2"/>
          </rPr>
          <t>RETORNOU DO MV27 DIA 28/11/2025 - PROCESSO 6718</t>
        </r>
      </text>
    </comment>
    <comment ref="E42" authorId="0" shapeId="0" xr:uid="{C29CD14A-9413-41B4-81EF-48BF93E48530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C43" authorId="0" shapeId="0" xr:uid="{1C1DB67F-9CA4-493B-A212-145F7820F214}">
      <text>
        <r>
          <rPr>
            <b/>
            <sz val="9"/>
            <color indexed="81"/>
            <rFont val="Segoe UI"/>
            <family val="2"/>
          </rPr>
          <t>RETORNOU DIA 25/02/26 - MARICA - PROCESSO: 6731</t>
        </r>
      </text>
    </comment>
    <comment ref="E43" authorId="0" shapeId="0" xr:uid="{36A5FB51-EBC0-4B9F-B41B-189528BD98D0}">
      <text>
        <r>
          <rPr>
            <b/>
            <sz val="9"/>
            <color indexed="81"/>
            <rFont val="Segoe UI"/>
            <family val="2"/>
          </rPr>
          <t>AGUARD. SAÍDA - PROCESSO 6863</t>
        </r>
      </text>
    </comment>
    <comment ref="C44" authorId="0" shapeId="0" xr:uid="{6A5615E6-3E49-42CD-AC01-A1DCE517BDF5}">
      <text>
        <r>
          <rPr>
            <b/>
            <sz val="9"/>
            <color indexed="81"/>
            <rFont val="Segoe UI"/>
            <family val="2"/>
          </rPr>
          <t>RETORNOU DIA  03/02/26 - PROCESSO: 6674 - MV30</t>
        </r>
      </text>
    </comment>
    <comment ref="E44" authorId="0" shapeId="0" xr:uid="{F83262C8-36E8-4B1D-954D-F46E90B03515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C45" authorId="1" shapeId="0" xr:uid="{920FE6C4-EFC0-476C-B0AF-D37E21ABF770}">
      <text>
        <r>
          <rPr>
            <b/>
            <sz val="9"/>
            <color indexed="81"/>
            <rFont val="Segoe UI"/>
            <family val="2"/>
          </rPr>
          <t>RETORNOU DO MARICA DIA 23/01/2026 
 - PROCESSO: 6731</t>
        </r>
      </text>
    </comment>
    <comment ref="E45" authorId="0" shapeId="0" xr:uid="{11924E49-ACAB-4A1A-BA10-2DCB56369C93}">
      <text>
        <r>
          <rPr>
            <b/>
            <sz val="9"/>
            <color indexed="81"/>
            <rFont val="Segoe UI"/>
            <family val="2"/>
          </rPr>
          <t>SAIDA 04/03/26 
PROCESSO: 6807</t>
        </r>
      </text>
    </comment>
    <comment ref="C46" authorId="0" shapeId="0" xr:uid="{BD3B9706-F7E8-4928-83BE-4B6883594C8C}">
      <text>
        <r>
          <rPr>
            <b/>
            <sz val="9"/>
            <color indexed="81"/>
            <rFont val="Segoe UI"/>
            <family val="2"/>
          </rPr>
          <t>RETORNOU DO MV30 DIA 16/02/25 - PROCESSO 6674</t>
        </r>
      </text>
    </comment>
    <comment ref="E46" authorId="0" shapeId="0" xr:uid="{F366BD32-E106-4537-9FD3-1E8F689D583B}">
      <text>
        <r>
          <rPr>
            <b/>
            <sz val="9"/>
            <color indexed="81"/>
            <rFont val="Segoe UI"/>
            <family val="2"/>
          </rPr>
          <t>SAÍDA: 27-03-26
PROCESSO 6789</t>
        </r>
      </text>
    </comment>
    <comment ref="C47" authorId="0" shapeId="0" xr:uid="{8CCDE295-F573-40F7-AC3C-09C0AC2C2AD1}">
      <text>
        <r>
          <rPr>
            <b/>
            <sz val="9"/>
            <color indexed="81"/>
            <rFont val="Segoe UI"/>
            <family val="2"/>
          </rPr>
          <t>RETORNOU DIA 10/02/26 - MARICA - PROCESSO: 6731</t>
        </r>
      </text>
    </comment>
    <comment ref="E47" authorId="0" shapeId="0" xr:uid="{36AD9AE6-F661-48A5-BE0A-19756712A314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C48" authorId="1" shapeId="0" xr:uid="{456F59FD-D260-4E3C-9D62-DC80A80E6C6C}">
      <text>
        <r>
          <rPr>
            <b/>
            <sz val="9"/>
            <color indexed="81"/>
            <rFont val="Segoe UI"/>
            <family val="2"/>
          </rPr>
          <t>RETORNOU DO MV32 DIA 09/01/2024.</t>
        </r>
      </text>
    </comment>
    <comment ref="E48" authorId="0" shapeId="0" xr:uid="{06DCB6BC-0A3D-4143-888B-343D2AD993E6}">
      <text>
        <r>
          <rPr>
            <b/>
            <sz val="9"/>
            <color indexed="81"/>
            <rFont val="Segoe UI"/>
            <family val="2"/>
          </rPr>
          <t>SAÍDA: 27-03-26
PROCESSO 6789</t>
        </r>
      </text>
    </comment>
    <comment ref="C49" authorId="1" shapeId="0" xr:uid="{ED789143-64C1-4E8E-A671-CD55BA296A75}">
      <text>
        <r>
          <rPr>
            <b/>
            <sz val="9"/>
            <color indexed="81"/>
            <rFont val="Segoe UI"/>
            <family val="2"/>
          </rPr>
          <t>RETORNOU DO MV32 DIA 09/01/2024.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Logística</author>
    <author>LOGISTICA</author>
  </authors>
  <commentList>
    <comment ref="C2" authorId="0" shapeId="0" xr:uid="{9816EFFC-5C55-452B-B82A-D25A97B96782}">
      <text>
        <r>
          <rPr>
            <b/>
            <sz val="9"/>
            <color indexed="81"/>
            <rFont val="Segoe UI"/>
            <family val="2"/>
          </rPr>
          <t>RETORNOU DO ILHA BELA
DIA 02/12/25 - PROCESSO 6753</t>
        </r>
      </text>
    </comment>
    <comment ref="C3" authorId="1" shapeId="0" xr:uid="{292EC549-75E1-4079-8632-523997DBFA66}">
      <text>
        <r>
          <rPr>
            <b/>
            <sz val="9"/>
            <color indexed="81"/>
            <rFont val="Segoe UI"/>
            <family val="2"/>
          </rPr>
          <t>RETORNOU DIA 23/02/26 - MARICA - PROCESSO: 6731</t>
        </r>
      </text>
    </comment>
    <comment ref="E3" authorId="1" shapeId="0" xr:uid="{3C3FD757-65E5-41B1-9E54-7AFD18827BB2}">
      <text>
        <r>
          <rPr>
            <b/>
            <sz val="9"/>
            <color indexed="81"/>
            <rFont val="Segoe UI"/>
            <family val="2"/>
          </rPr>
          <t>SAIDA 08/05/26 
PROCESSO: 6798</t>
        </r>
      </text>
    </comment>
    <comment ref="C4" authorId="1" shapeId="0" xr:uid="{61BA0494-F387-4180-93D5-23F962AE74FB}">
      <text>
        <r>
          <rPr>
            <b/>
            <sz val="9"/>
            <color indexed="81"/>
            <rFont val="Segoe UI"/>
            <family val="2"/>
          </rPr>
          <t xml:space="preserve">RETORNO DO SAQUAREMA - DIA 05/08/25-  PROCESSO 6619
</t>
        </r>
      </text>
    </comment>
    <comment ref="E4" authorId="1" shapeId="0" xr:uid="{4881FABB-348B-4FF6-9B90-CC0D67822FC3}">
      <text>
        <r>
          <rPr>
            <b/>
            <sz val="9"/>
            <color indexed="81"/>
            <rFont val="Segoe UI"/>
            <family val="2"/>
          </rPr>
          <t>SAIDA 17/04/26
PROCESSO: 6798</t>
        </r>
      </text>
    </comment>
    <comment ref="C5" authorId="1" shapeId="0" xr:uid="{E0FB75F3-8B93-4263-93A0-7222055C5790}">
      <text>
        <r>
          <rPr>
            <b/>
            <sz val="9"/>
            <color indexed="81"/>
            <rFont val="Segoe UI"/>
            <family val="2"/>
          </rPr>
          <t>RETORNOU DIA 12/08/25 - ALM. TAMANDARE - PROCESSO: 6580</t>
        </r>
      </text>
    </comment>
    <comment ref="E5" authorId="1" shapeId="0" xr:uid="{A7E9B914-8269-44FE-8DF4-38DBAC82E1EA}">
      <text>
        <r>
          <rPr>
            <b/>
            <sz val="9"/>
            <color indexed="81"/>
            <rFont val="Segoe UI"/>
            <family val="2"/>
          </rPr>
          <t>AGUARD. SAÍDA - PROCESSO 6846</t>
        </r>
      </text>
    </comment>
    <comment ref="C6" authorId="0" shapeId="0" xr:uid="{F8DEAD6D-AC39-4918-8885-927D0D2605E3}">
      <text>
        <r>
          <rPr>
            <b/>
            <sz val="9"/>
            <color indexed="81"/>
            <rFont val="Segoe UI"/>
            <family val="2"/>
          </rPr>
          <t>RETORNOU DO SAQUAREMA 15/05/24</t>
        </r>
      </text>
    </comment>
    <comment ref="E6" authorId="1" shapeId="0" xr:uid="{7D6E4BB8-4C91-4120-9D1C-835F2F6E9909}">
      <text>
        <r>
          <rPr>
            <b/>
            <sz val="9"/>
            <color indexed="81"/>
            <rFont val="Segoe UI"/>
            <family val="2"/>
          </rPr>
          <t>AGUARD. SAÍDA - PROCESSO 6707</t>
        </r>
      </text>
    </comment>
    <comment ref="C7" authorId="0" shapeId="0" xr:uid="{6903B7D5-2CE3-41DF-85C8-9D6CE12DDAD2}">
      <text>
        <r>
          <rPr>
            <b/>
            <sz val="9"/>
            <color indexed="81"/>
            <rFont val="Segoe UI"/>
            <family val="2"/>
          </rPr>
          <t>RETORNOU DO FPSO RAIA DIA 17/11/25 - PROCESSO 6766</t>
        </r>
      </text>
    </comment>
    <comment ref="G7" authorId="1" shapeId="0" xr:uid="{320D17BA-4C04-417B-8DE6-104FF1B0DAAB}">
      <text>
        <r>
          <rPr>
            <b/>
            <sz val="9"/>
            <color indexed="81"/>
            <rFont val="Segoe UI"/>
            <family val="2"/>
          </rPr>
          <t>ESLINGA 3,90M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Logística</author>
    <author>LOGISTICA</author>
  </authors>
  <commentList>
    <comment ref="D2" authorId="0" shapeId="0" xr:uid="{0C295967-53EA-458C-8CD3-968B38649571}">
      <text>
        <r>
          <rPr>
            <b/>
            <sz val="9"/>
            <color indexed="81"/>
            <rFont val="Segoe UI"/>
            <family val="2"/>
          </rPr>
          <t>SAIDA 18/12/23.</t>
        </r>
      </text>
    </comment>
    <comment ref="B3" authorId="1" shapeId="0" xr:uid="{89FCC44C-59E2-424B-ABA2-FC58F0DC2284}">
      <text>
        <r>
          <rPr>
            <b/>
            <sz val="9"/>
            <color indexed="81"/>
            <rFont val="Segoe UI"/>
            <family val="2"/>
          </rPr>
          <t>RETORNOU DO MV30 DIA 16/02/25 - PROCESSO 6674</t>
        </r>
      </text>
    </comment>
    <comment ref="B4" authorId="1" shapeId="0" xr:uid="{FF35D5B6-1B26-405A-8168-71415094B1B8}">
      <text>
        <r>
          <rPr>
            <b/>
            <sz val="9"/>
            <color indexed="81"/>
            <rFont val="Segoe UI"/>
            <family val="2"/>
          </rPr>
          <t>RETORNOU DO ESS 
DIA 06/03/26 - PROCESSO 6666</t>
        </r>
      </text>
    </comment>
    <comment ref="D5" authorId="0" shapeId="0" xr:uid="{52EC11AC-CCD3-4E9C-A930-BD3726F1E5D2}">
      <text>
        <r>
          <rPr>
            <b/>
            <sz val="9"/>
            <color indexed="81"/>
            <rFont val="Segoe UI"/>
            <family val="2"/>
          </rPr>
          <t>SAIDA 18/12/23.</t>
        </r>
      </text>
    </comment>
    <comment ref="B6" authorId="1" shapeId="0" xr:uid="{EE7B8F5D-A286-49A7-8B64-11C8C4B4A64B}">
      <text>
        <r>
          <rPr>
            <b/>
            <sz val="9"/>
            <color indexed="81"/>
            <rFont val="Segoe UI"/>
            <family val="2"/>
          </rPr>
          <t>RETORNOU DIA  06/04/26 - PROCESSO: 6775 - FPSO VITORIA</t>
        </r>
      </text>
    </comment>
    <comment ref="D6" authorId="1" shapeId="0" xr:uid="{0A361780-3481-41FD-97C0-861DB5C080E0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B7" authorId="0" shapeId="0" xr:uid="{E378B68E-9DBB-45DF-BB6F-176742E05B96}">
      <text>
        <r>
          <rPr>
            <b/>
            <sz val="9"/>
            <color indexed="81"/>
            <rFont val="Segoe UI"/>
            <family val="2"/>
          </rPr>
          <t>RETORNO DO SAQUAREMA - DIA 06/08/25 - PROCESSO: 6651</t>
        </r>
      </text>
    </comment>
    <comment ref="D7" authorId="1" shapeId="0" xr:uid="{29902701-727A-4942-AE58-DF0678751A71}">
      <text>
        <r>
          <rPr>
            <b/>
            <sz val="9"/>
            <color indexed="81"/>
            <rFont val="Segoe UI"/>
            <family val="2"/>
          </rPr>
          <t>AGUARD. SAÍDA - PROCESSO 6863</t>
        </r>
      </text>
    </comment>
    <comment ref="B8" authorId="1" shapeId="0" xr:uid="{B323BAFB-9C87-4D78-94EC-D670A85B1D8D}">
      <text>
        <r>
          <rPr>
            <b/>
            <sz val="9"/>
            <color indexed="81"/>
            <rFont val="Segoe UI"/>
            <family val="2"/>
          </rPr>
          <t>RETORNO DO MV22 - DIA 26/06/25-  PROCESSO 6578</t>
        </r>
      </text>
    </comment>
    <comment ref="D8" authorId="1" shapeId="0" xr:uid="{4F68843B-8437-42EB-819A-F9466A791352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B9" authorId="1" shapeId="0" xr:uid="{86224C3C-A1F4-4DF2-AD11-18F6E29AC3E3}">
      <text>
        <r>
          <rPr>
            <b/>
            <sz val="9"/>
            <color indexed="81"/>
            <rFont val="Segoe UI"/>
            <family val="2"/>
          </rPr>
          <t>RETORNOU DIA  03/02/26 - PROCESSO: 6674 - MV30</t>
        </r>
      </text>
    </comment>
    <comment ref="D9" authorId="1" shapeId="0" xr:uid="{162192C7-EC12-4576-8C59-F74B70E374BF}">
      <text>
        <r>
          <rPr>
            <b/>
            <sz val="9"/>
            <color indexed="81"/>
            <rFont val="Segoe UI"/>
            <family val="2"/>
          </rPr>
          <t>AGUAD.  SAIDA
PROCESSO: 6891</t>
        </r>
      </text>
    </comment>
    <comment ref="B10" authorId="1" shapeId="0" xr:uid="{BD4E5034-BAE7-4021-BBFF-E4DB1FC68AD8}">
      <text>
        <r>
          <rPr>
            <b/>
            <sz val="9"/>
            <color indexed="81"/>
            <rFont val="Segoe UI"/>
            <family val="2"/>
          </rPr>
          <t>RETORNOU DIA 10/02/26 - MARICA - PROCESSO: 6731</t>
        </r>
      </text>
    </comment>
    <comment ref="B11" authorId="0" shapeId="0" xr:uid="{C021C554-3C4F-4385-87AE-515639BFAE12}">
      <text>
        <r>
          <rPr>
            <b/>
            <sz val="9"/>
            <color indexed="81"/>
            <rFont val="Segoe UI"/>
            <family val="2"/>
          </rPr>
          <t>CHEGOU DO PORTO DIA 20/02/24</t>
        </r>
      </text>
    </comment>
    <comment ref="D11" authorId="0" shapeId="0" xr:uid="{C1AF6D70-6169-483E-A933-53122E141624}">
      <text>
        <r>
          <rPr>
            <b/>
            <sz val="9"/>
            <color indexed="81"/>
            <rFont val="Segoe UI"/>
            <family val="2"/>
          </rPr>
          <t>SAIDA 18/12/23.</t>
        </r>
      </text>
    </comment>
    <comment ref="F11" authorId="1" shapeId="0" xr:uid="{D7160364-4E4B-4098-B14B-48177568F0CC}">
      <text>
        <r>
          <rPr>
            <b/>
            <sz val="9"/>
            <color indexed="81"/>
            <rFont val="Segoe UI"/>
            <family val="2"/>
          </rPr>
          <t>SEM ESLINGA</t>
        </r>
      </text>
    </comment>
    <comment ref="B12" authorId="0" shapeId="0" xr:uid="{5B1F5E9E-5EDF-4DA4-A67A-8319211EAE14}">
      <text>
        <r>
          <rPr>
            <b/>
            <sz val="9"/>
            <color indexed="81"/>
            <rFont val="Segoe UI"/>
            <family val="2"/>
          </rPr>
          <t>CHEGOU DO PORTO DIA 20/02/24</t>
        </r>
      </text>
    </comment>
    <comment ref="D12" authorId="0" shapeId="0" xr:uid="{45273352-3966-44C5-91BD-E47D4C1FED7B}">
      <text>
        <r>
          <rPr>
            <b/>
            <sz val="9"/>
            <color indexed="81"/>
            <rFont val="Segoe UI"/>
            <family val="2"/>
          </rPr>
          <t>SAIDA 18/12/23.</t>
        </r>
      </text>
    </comment>
    <comment ref="B13" authorId="0" shapeId="0" xr:uid="{6CB02EC7-BACC-4EA8-901A-0D25C3B02066}">
      <text>
        <r>
          <rPr>
            <b/>
            <sz val="9"/>
            <color indexed="81"/>
            <rFont val="Segoe UI"/>
            <family val="2"/>
          </rPr>
          <t>RETORNOU DO MV32 DIA 09/01/2024.</t>
        </r>
      </text>
    </comment>
    <comment ref="D13" authorId="0" shapeId="0" xr:uid="{5E4D069D-6520-42CF-BCA6-95FB65234D0E}">
      <text>
        <r>
          <rPr>
            <b/>
            <sz val="9"/>
            <color indexed="81"/>
            <rFont val="Segoe UI"/>
            <family val="2"/>
          </rPr>
          <t>SAIDA 18/12/23.</t>
        </r>
      </text>
    </comment>
    <comment ref="B14" authorId="0" shapeId="0" xr:uid="{C1BBFF58-50E0-4E12-9F69-5E5A5FADB198}">
      <text>
        <r>
          <rPr>
            <b/>
            <sz val="9"/>
            <color indexed="81"/>
            <rFont val="Segoe UI"/>
            <family val="2"/>
          </rPr>
          <t>RETORNOU DO MV32 DIA 09/01/2024.</t>
        </r>
      </text>
    </comment>
    <comment ref="D14" authorId="0" shapeId="0" xr:uid="{D956D388-CECD-4B59-A8DB-F3F69B56D753}">
      <text>
        <r>
          <rPr>
            <b/>
            <sz val="9"/>
            <color indexed="81"/>
            <rFont val="Segoe UI"/>
            <family val="2"/>
          </rPr>
          <t>SAIDA 18/12/23.</t>
        </r>
      </text>
    </comment>
    <comment ref="B15" authorId="0" shapeId="0" xr:uid="{0655C046-95B1-486E-A2D1-24ADFEA3D27D}">
      <text>
        <r>
          <rPr>
            <b/>
            <sz val="9"/>
            <color indexed="81"/>
            <rFont val="Segoe UI"/>
            <family val="2"/>
          </rPr>
          <t>RETORNOU DO MV32 DIA 09/01/2024.</t>
        </r>
      </text>
    </comment>
    <comment ref="C15" authorId="0" shapeId="0" xr:uid="{BD2F64A7-F9EB-4CA4-82C8-1FD00AC233FF}">
      <text>
        <r>
          <rPr>
            <b/>
            <sz val="9"/>
            <color indexed="81"/>
            <rFont val="Segoe UI"/>
            <family val="2"/>
          </rPr>
          <t>SAIDA 18/12/23.</t>
        </r>
      </text>
    </comment>
    <comment ref="D15" authorId="0" shapeId="0" xr:uid="{B86A8E79-448C-4D76-8D7A-8462043E6232}">
      <text>
        <r>
          <rPr>
            <b/>
            <sz val="9"/>
            <color indexed="81"/>
            <rFont val="Segoe UI"/>
            <family val="2"/>
          </rPr>
          <t>SAIDA 15/04/26.</t>
        </r>
      </text>
    </comment>
    <comment ref="B16" authorId="0" shapeId="0" xr:uid="{7632BD9D-554E-4841-956F-493B2F7DBB1F}">
      <text>
        <r>
          <rPr>
            <b/>
            <sz val="9"/>
            <color indexed="81"/>
            <rFont val="Segoe UI"/>
            <family val="2"/>
          </rPr>
          <t>RETORNOU DO MV32 DIA 09/01/2024.</t>
        </r>
      </text>
    </comment>
    <comment ref="C16" authorId="0" shapeId="0" xr:uid="{2370536E-0D83-40CD-9D27-7AE0F1095F66}">
      <text>
        <r>
          <rPr>
            <b/>
            <sz val="9"/>
            <color indexed="81"/>
            <rFont val="Segoe UI"/>
            <family val="2"/>
          </rPr>
          <t>SAIDA 18/12/23.</t>
        </r>
      </text>
    </comment>
    <comment ref="D16" authorId="0" shapeId="0" xr:uid="{AE5C923E-6489-4DEE-9F96-43DF9356783C}">
      <text>
        <r>
          <rPr>
            <b/>
            <sz val="9"/>
            <color indexed="81"/>
            <rFont val="Segoe UI"/>
            <family val="2"/>
          </rPr>
          <t>SAIDA 15/04/26.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</author>
    <author>Logística</author>
  </authors>
  <commentList>
    <comment ref="C2" authorId="0" shapeId="0" xr:uid="{DE6BA30A-2FB0-4F7F-A5A0-E164205D2308}">
      <text>
        <r>
          <rPr>
            <b/>
            <sz val="9"/>
            <color indexed="81"/>
            <rFont val="Segoe UI"/>
            <family val="2"/>
          </rPr>
          <t>RETORNOU DIA 23/02/26 - MARICA - PROCESSO: 6731</t>
        </r>
      </text>
    </comment>
    <comment ref="E2" authorId="0" shapeId="0" xr:uid="{AFE8800A-F164-4598-94FC-2DFC21909D40}">
      <text>
        <r>
          <rPr>
            <b/>
            <sz val="9"/>
            <color indexed="81"/>
            <rFont val="Segoe UI"/>
            <family val="2"/>
          </rPr>
          <t>AGUARD. SAÍDA - PROCESSO 6863</t>
        </r>
      </text>
    </comment>
    <comment ref="C3" authorId="0" shapeId="0" xr:uid="{1E87705F-E259-4586-99A5-BAB7E41346D5}">
      <text>
        <r>
          <rPr>
            <b/>
            <sz val="9"/>
            <color indexed="81"/>
            <rFont val="Segoe UI"/>
            <family val="2"/>
          </rPr>
          <t>RETORNOU DO ESS 
DIA 12/03/26 - PROCESSO 6666</t>
        </r>
      </text>
    </comment>
    <comment ref="E3" authorId="0" shapeId="0" xr:uid="{F43FC683-F1AC-41F2-803B-CABC7C739432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C4" authorId="1" shapeId="0" xr:uid="{B569D7B6-6E8B-46AD-83DF-4B8B29B40BA4}">
      <text>
        <r>
          <rPr>
            <b/>
            <sz val="9"/>
            <color indexed="81"/>
            <rFont val="Segoe UI"/>
            <family val="2"/>
          </rPr>
          <t xml:space="preserve">RETORNOU DA DEEP AQUILA - DIA 26/02/26 - PROCESSO: 6811
</t>
        </r>
      </text>
    </comment>
    <comment ref="C5" authorId="0" shapeId="0" xr:uid="{53659F0E-80A6-4ADC-AC57-9EBAF694DE13}">
      <text>
        <r>
          <rPr>
            <b/>
            <sz val="9"/>
            <color indexed="81"/>
            <rFont val="Segoe UI"/>
            <family val="2"/>
          </rPr>
          <t>RETORNOU DIA 23/07/25 - PEREGRINO - PROCESSO: 6593</t>
        </r>
      </text>
    </comment>
    <comment ref="E5" authorId="0" shapeId="0" xr:uid="{9BD4C747-3712-4A89-B974-CEB9DA597988}">
      <text>
        <r>
          <rPr>
            <b/>
            <sz val="9"/>
            <color indexed="81"/>
            <rFont val="Segoe UI"/>
            <family val="2"/>
          </rPr>
          <t>SAIDA 24/09/25 - PROCESSO: 6425</t>
        </r>
      </text>
    </comment>
    <comment ref="C6" authorId="0" shapeId="0" xr:uid="{C0380E84-10BF-4596-B575-ACFD0ED54DD4}">
      <text>
        <r>
          <rPr>
            <b/>
            <sz val="9"/>
            <color indexed="81"/>
            <rFont val="Segoe UI"/>
            <family val="2"/>
          </rPr>
          <t>RETORNOU DIA 23/02/26 - MARICA - PROCESSO: 6731</t>
        </r>
      </text>
    </comment>
    <comment ref="E6" authorId="0" shapeId="0" xr:uid="{6C35E4E7-0243-472B-AA95-5D2E9E9D6249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C7" authorId="0" shapeId="0" xr:uid="{193690DD-CC47-4195-B65D-B40DA6689F11}">
      <text>
        <r>
          <rPr>
            <b/>
            <sz val="9"/>
            <color indexed="81"/>
            <rFont val="Segoe UI"/>
            <family val="2"/>
          </rPr>
          <t>RETORNOU DIA 10/03/26</t>
        </r>
      </text>
    </comment>
    <comment ref="E7" authorId="0" shapeId="0" xr:uid="{BDD39FD4-97C8-433A-8EA0-53929A229C67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C8" authorId="0" shapeId="0" xr:uid="{A2FFF4AB-05D4-4A72-91B0-9F0D04C3F269}">
      <text>
        <r>
          <rPr>
            <b/>
            <sz val="9"/>
            <color indexed="81"/>
            <rFont val="Segoe UI"/>
            <family val="2"/>
          </rPr>
          <t>RETORNOU DIA 24/03/26 - MDDC - PROCESSO: 6424</t>
        </r>
      </text>
    </comment>
    <comment ref="E8" authorId="0" shapeId="0" xr:uid="{2D644722-2048-4ABD-A23F-7CA659A52A98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C9" authorId="1" shapeId="0" xr:uid="{8CB9B45D-20F9-4688-81A1-B4E0E8DF9DC3}">
      <text>
        <r>
          <rPr>
            <b/>
            <sz val="9"/>
            <color indexed="81"/>
            <rFont val="Segoe UI"/>
            <family val="2"/>
          </rPr>
          <t>RETORNO DO MV32 - DIA 10/12/25 - PROCESSO: 6711</t>
        </r>
      </text>
    </comment>
    <comment ref="C10" authorId="0" shapeId="0" xr:uid="{8A77F7BD-DBF2-4285-B5D8-70B3F8777A68}">
      <text>
        <r>
          <rPr>
            <b/>
            <sz val="9"/>
            <color indexed="81"/>
            <rFont val="Segoe UI"/>
            <family val="2"/>
          </rPr>
          <t>RETORNO DO PARATY - DIA 13/03/26-  PROCESSO 6551</t>
        </r>
      </text>
    </comment>
    <comment ref="E10" authorId="0" shapeId="0" xr:uid="{0E56368B-358F-4E8D-BA4F-0DBF609700E9}">
      <text>
        <r>
          <rPr>
            <b/>
            <sz val="9"/>
            <color indexed="81"/>
            <rFont val="Segoe UI"/>
            <family val="2"/>
          </rPr>
          <t>SAIDA 07/01/25 - PROCESSO: 6551</t>
        </r>
      </text>
    </comment>
    <comment ref="C11" authorId="0" shapeId="0" xr:uid="{8E329CCD-8780-4920-9053-ED421912B3CC}">
      <text>
        <r>
          <rPr>
            <b/>
            <sz val="9"/>
            <color indexed="81"/>
            <rFont val="Segoe UI"/>
            <family val="2"/>
          </rPr>
          <t>RETORNOU DIA 16/02/26 - MARICA - PROCESSO: 6731</t>
        </r>
      </text>
    </comment>
    <comment ref="C12" authorId="0" shapeId="0" xr:uid="{ED81EC58-D265-4BC5-96CB-68BB8F49551F}">
      <text>
        <r>
          <rPr>
            <b/>
            <sz val="9"/>
            <color indexed="81"/>
            <rFont val="Segoe UI"/>
            <family val="2"/>
          </rPr>
          <t>RETORNOU DO ESS 
DIA 06/03/26 - PROCESSO 6666</t>
        </r>
      </text>
    </comment>
    <comment ref="E12" authorId="0" shapeId="0" xr:uid="{C7CB261E-FA98-482B-9EBA-053BE43921AA}">
      <text>
        <r>
          <rPr>
            <b/>
            <sz val="9"/>
            <color indexed="81"/>
            <rFont val="Segoe UI"/>
            <family val="2"/>
          </rPr>
          <t>AGUARD. SAÍDA - PROCESSO 6863</t>
        </r>
      </text>
    </comment>
    <comment ref="C13" authorId="0" shapeId="0" xr:uid="{37D160C1-4F2D-46E7-A944-7EC316D13F75}">
      <text>
        <r>
          <rPr>
            <b/>
            <sz val="9"/>
            <color indexed="81"/>
            <rFont val="Segoe UI"/>
            <family val="2"/>
          </rPr>
          <t>RETORNOU DO ESS 
DIA 06/03/26 - PROCESSO 6666</t>
        </r>
      </text>
    </comment>
    <comment ref="E13" authorId="0" shapeId="0" xr:uid="{B77A4629-D39E-4609-92E1-F237FE87CD0D}">
      <text>
        <r>
          <rPr>
            <b/>
            <sz val="9"/>
            <color indexed="81"/>
            <rFont val="Segoe UI"/>
            <family val="2"/>
          </rPr>
          <t>AGUARD. SAÍDA - PROCESSO 6863</t>
        </r>
      </text>
    </comment>
    <comment ref="C14" authorId="0" shapeId="0" xr:uid="{A418A429-6BAD-48AE-BE82-6A3FD5234180}">
      <text>
        <r>
          <rPr>
            <b/>
            <sz val="9"/>
            <color indexed="81"/>
            <rFont val="Segoe UI"/>
            <family val="2"/>
          </rPr>
          <t>RETORNOU DIA 16/02/26 - MARICA - PROCESSO: 6731</t>
        </r>
      </text>
    </comment>
    <comment ref="E14" authorId="0" shapeId="0" xr:uid="{BB327139-6B5C-4FDB-A4F8-DD55DB354AF0}">
      <text>
        <r>
          <rPr>
            <b/>
            <sz val="9"/>
            <color indexed="81"/>
            <rFont val="Segoe UI"/>
            <family val="2"/>
          </rPr>
          <t>AGUARD. SAÍDA - PROCESSO 6863</t>
        </r>
      </text>
    </comment>
    <comment ref="C15" authorId="1" shapeId="0" xr:uid="{33440775-5933-435F-9DCC-6103FD442430}">
      <text>
        <r>
          <rPr>
            <b/>
            <sz val="9"/>
            <color indexed="81"/>
            <rFont val="Segoe UI"/>
            <family val="2"/>
          </rPr>
          <t>RETORNO DO MV32 - DIA 10/12/25 - PROCESSO: 6711</t>
        </r>
      </text>
    </comment>
    <comment ref="E15" authorId="0" shapeId="0" xr:uid="{F5D99009-B07B-42C9-A7B9-F5A1B57DF0D9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C16" authorId="1" shapeId="0" xr:uid="{D5939567-A2AF-43FE-A14B-AB43DFE1C352}">
      <text>
        <r>
          <rPr>
            <b/>
            <sz val="9"/>
            <color indexed="81"/>
            <rFont val="Segoe UI"/>
            <family val="2"/>
          </rPr>
          <t>RETORNOU 19/01/26 - NF 119088
WHITE MARTINS
RETORNO DO MV32 - DIA 10/12/25 - PROCESSO: 6711</t>
        </r>
      </text>
    </comment>
    <comment ref="C17" authorId="1" shapeId="0" xr:uid="{26F87A91-713F-40B8-BD80-8D6A2824B40B}">
      <text>
        <r>
          <rPr>
            <b/>
            <sz val="9"/>
            <color indexed="81"/>
            <rFont val="Segoe UI"/>
            <family val="2"/>
          </rPr>
          <t>RETORNOU 19/01/26 - NF 119088
WHITE MARTINS
RETORNO DO MV32 - DIA 10/12/25 - PROCESSO: 6711</t>
        </r>
      </text>
    </comment>
    <comment ref="E17" authorId="0" shapeId="0" xr:uid="{7E7DF3C1-122B-4D57-BA56-3F47E61C1AE8}">
      <text>
        <r>
          <rPr>
            <b/>
            <sz val="9"/>
            <color indexed="81"/>
            <rFont val="Segoe UI"/>
            <family val="2"/>
          </rPr>
          <t>AGUAD.  SAIDA
PROCESSO: 6891</t>
        </r>
      </text>
    </comment>
    <comment ref="C18" authorId="1" shapeId="0" xr:uid="{AA0A2554-33E5-440B-8B60-CBE56923C2C0}">
      <text>
        <r>
          <rPr>
            <b/>
            <sz val="9"/>
            <color indexed="81"/>
            <rFont val="Segoe UI"/>
            <family val="2"/>
          </rPr>
          <t xml:space="preserve">RETORNOU DA DEEP AQUILA - DIA 26/02/26 - PROCESSO: 6811
</t>
        </r>
      </text>
    </comment>
    <comment ref="E18" authorId="0" shapeId="0" xr:uid="{09B80E60-AEB9-45DC-B182-6DFF343EE685}">
      <text>
        <r>
          <rPr>
            <b/>
            <sz val="9"/>
            <color indexed="81"/>
            <rFont val="Segoe UI"/>
            <family val="2"/>
          </rPr>
          <t>SAIDA 24/09/25 - PROCESSO: 6425</t>
        </r>
      </text>
    </comment>
    <comment ref="C19" authorId="0" shapeId="0" xr:uid="{1537C27A-F1D8-4DFF-B993-B0A5C490D340}">
      <text>
        <r>
          <rPr>
            <b/>
            <sz val="9"/>
            <color indexed="81"/>
            <rFont val="Segoe UI"/>
            <family val="2"/>
          </rPr>
          <t>RETORNO DO PARATY - DIA 13/03/26-  PROCESSO 6687</t>
        </r>
      </text>
    </comment>
    <comment ref="E19" authorId="0" shapeId="0" xr:uid="{0F4042D0-E19C-4F7F-9E5D-6FD97C05B667}">
      <text>
        <r>
          <rPr>
            <b/>
            <sz val="9"/>
            <color indexed="81"/>
            <rFont val="Segoe UI"/>
            <family val="2"/>
          </rPr>
          <t>SAIDA 07/01/25 - PROCESSO: 6551</t>
        </r>
      </text>
    </comment>
    <comment ref="C20" authorId="1" shapeId="0" xr:uid="{BBE848AA-EA81-411B-A550-F366E55C723B}">
      <text>
        <r>
          <rPr>
            <b/>
            <sz val="9"/>
            <color indexed="81"/>
            <rFont val="Segoe UI"/>
            <family val="2"/>
          </rPr>
          <t xml:space="preserve">RETORNOU DA GUEREN DIA 16/01/26
</t>
        </r>
      </text>
    </comment>
    <comment ref="E20" authorId="0" shapeId="0" xr:uid="{9B6CDBF9-27D1-411E-93BE-EC1BBDF2A40B}">
      <text>
        <r>
          <rPr>
            <b/>
            <sz val="9"/>
            <color indexed="81"/>
            <rFont val="Segoe UI"/>
            <family val="2"/>
          </rPr>
          <t>SAIDA 30/01/26
PROCESSO: 6754</t>
        </r>
      </text>
    </comment>
    <comment ref="C21" authorId="0" shapeId="0" xr:uid="{803CB303-3A32-417F-9730-73E4526F1C40}">
      <text>
        <r>
          <rPr>
            <b/>
            <sz val="9"/>
            <color indexed="81"/>
            <rFont val="Segoe UI"/>
            <family val="2"/>
          </rPr>
          <t>RETORNOU DIA 10/03/26</t>
        </r>
      </text>
    </comment>
    <comment ref="C22" authorId="1" shapeId="0" xr:uid="{6D80D29D-566E-4A38-A76F-A958DE0F5E55}">
      <text>
        <r>
          <rPr>
            <b/>
            <sz val="9"/>
            <color indexed="81"/>
            <rFont val="Segoe UI"/>
            <family val="2"/>
          </rPr>
          <t>***RETORNOU VAZIO DA WHITE MARTINS DIA 14/08/25
***RETORNO DO SAQUAREMA - DIA 04/08/25 - PROCESSO: 6651</t>
        </r>
      </text>
    </comment>
    <comment ref="E22" authorId="0" shapeId="0" xr:uid="{151272AA-29EB-449E-9836-27DCABEFF599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C23" authorId="0" shapeId="0" xr:uid="{DFF1DE72-D5EA-4111-9089-F312A1D4D29C}">
      <text>
        <r>
          <rPr>
            <b/>
            <sz val="9"/>
            <color indexed="81"/>
            <rFont val="Segoe UI"/>
            <family val="2"/>
          </rPr>
          <t>RETORNOU DIA 09/02/26 - MV30 - PROCESSO: 6674</t>
        </r>
      </text>
    </comment>
    <comment ref="C24" authorId="0" shapeId="0" xr:uid="{BE9F281D-406C-46A9-97BB-9CD5C4F7F381}">
      <text>
        <r>
          <rPr>
            <b/>
            <sz val="9"/>
            <color indexed="81"/>
            <rFont val="Segoe UI"/>
            <family val="2"/>
          </rPr>
          <t>RETORNOU DIA 09/02/26 - MV30 - PROCESSO: 6674</t>
        </r>
      </text>
    </comment>
    <comment ref="C25" authorId="0" shapeId="0" xr:uid="{99BF5A9B-06CC-4A04-AD87-10E3B3ECF566}">
      <text>
        <r>
          <rPr>
            <b/>
            <sz val="9"/>
            <color indexed="81"/>
            <rFont val="Segoe UI"/>
            <family val="2"/>
          </rPr>
          <t>RETORNOU DIA 09/02/26 - MV30 - PROCESSO: 6674</t>
        </r>
      </text>
    </comment>
    <comment ref="C26" authorId="0" shapeId="0" xr:uid="{EBAA999E-EEB5-430A-BC80-069F0AC3A7E1}">
      <text>
        <r>
          <rPr>
            <b/>
            <sz val="9"/>
            <color indexed="81"/>
            <rFont val="Segoe UI"/>
            <family val="2"/>
          </rPr>
          <t>RETORNOU DIA 23/02/26 - MV30 - PROCESSO: 6674</t>
        </r>
      </text>
    </comment>
    <comment ref="C27" authorId="0" shapeId="0" xr:uid="{17DF215F-62CB-46B9-BE89-C974016E78CF}">
      <text>
        <r>
          <rPr>
            <b/>
            <sz val="9"/>
            <color indexed="81"/>
            <rFont val="Segoe UI"/>
            <family val="2"/>
          </rPr>
          <t>RETORNOU DIA 16/02/26 - MARICA - PROCESSO: 6731</t>
        </r>
      </text>
    </comment>
    <comment ref="C28" authorId="0" shapeId="0" xr:uid="{5E40E34F-5E90-4CAB-93D3-5239B0831298}">
      <text>
        <r>
          <rPr>
            <b/>
            <sz val="9"/>
            <color indexed="81"/>
            <rFont val="Segoe UI"/>
            <family val="2"/>
          </rPr>
          <t>RETORNOU DIA  09/12/25 - PROCESSO: 6718 - MV27</t>
        </r>
      </text>
    </comment>
    <comment ref="C29" authorId="0" shapeId="0" xr:uid="{62049673-F3FF-4D9C-8A2F-FC0DC7CDC1B0}">
      <text>
        <r>
          <rPr>
            <b/>
            <sz val="9"/>
            <color indexed="81"/>
            <rFont val="Segoe UI"/>
            <family val="2"/>
          </rPr>
          <t>RETORNOU DIA 16/02/26 - MARICA - PROCESSO: 6731</t>
        </r>
      </text>
    </comment>
    <comment ref="C30" authorId="0" shapeId="0" xr:uid="{7C6E6EC5-AEB7-4C4C-A840-6B7BAC344E8C}">
      <text>
        <r>
          <rPr>
            <b/>
            <sz val="9"/>
            <color indexed="81"/>
            <rFont val="Segoe UI"/>
            <family val="2"/>
          </rPr>
          <t>RETORNO DO PARATY - DIA 13/02/26-  PROCESSO 6758</t>
        </r>
      </text>
    </comment>
    <comment ref="E30" authorId="0" shapeId="0" xr:uid="{FFE0AD50-5FB3-499F-A647-0827D67CC38A}">
      <text>
        <r>
          <rPr>
            <b/>
            <sz val="9"/>
            <color indexed="81"/>
            <rFont val="Segoe UI"/>
            <family val="2"/>
          </rPr>
          <t>SAIDA 24/09/25 - PROCESSO: 6425</t>
        </r>
      </text>
    </comment>
    <comment ref="C31" authorId="0" shapeId="0" xr:uid="{EEF2F646-9B09-4AF9-B25C-E353688302A6}">
      <text>
        <r>
          <rPr>
            <b/>
            <sz val="9"/>
            <color indexed="81"/>
            <rFont val="Segoe UI"/>
            <family val="2"/>
          </rPr>
          <t>RETORNO DO PARATY - DIA 13/03/26-  PROCESSO 6758</t>
        </r>
      </text>
    </comment>
    <comment ref="E31" authorId="0" shapeId="0" xr:uid="{A90E4225-2C18-41A9-A757-B9BF52E0C704}">
      <text>
        <r>
          <rPr>
            <b/>
            <sz val="9"/>
            <color indexed="81"/>
            <rFont val="Segoe UI"/>
            <family val="2"/>
          </rPr>
          <t>SAIDA 07/01/25 - PROCESSO: 6551</t>
        </r>
      </text>
    </comment>
    <comment ref="C32" authorId="0" shapeId="0" xr:uid="{FBD03934-B079-4EDB-9FF7-139CD6099C8F}">
      <text>
        <r>
          <rPr>
            <b/>
            <sz val="9"/>
            <color indexed="81"/>
            <rFont val="Segoe UI"/>
            <family val="2"/>
          </rPr>
          <t>RETORNO DO PARATY - DIA 13/02/26-  PROCESSO 6758</t>
        </r>
      </text>
    </comment>
    <comment ref="C33" authorId="0" shapeId="0" xr:uid="{3525286D-C7B5-42E1-9658-9C04472CD152}">
      <text>
        <r>
          <rPr>
            <b/>
            <sz val="9"/>
            <color indexed="81"/>
            <rFont val="Segoe UI"/>
            <family val="2"/>
          </rPr>
          <t>RETORNOU DIA 18/09/25</t>
        </r>
      </text>
    </comment>
    <comment ref="E33" authorId="0" shapeId="0" xr:uid="{60A9698A-30F3-4732-BE65-305EC04A5D2D}">
      <text>
        <r>
          <rPr>
            <b/>
            <sz val="9"/>
            <color indexed="81"/>
            <rFont val="Segoe UI"/>
            <family val="2"/>
          </rPr>
          <t>SAIDA 22/10/25
PROCESSO: 6758</t>
        </r>
      </text>
    </comment>
    <comment ref="C34" authorId="0" shapeId="0" xr:uid="{4072FC2C-C061-4351-91E0-EB92C21313F4}">
      <text>
        <r>
          <rPr>
            <b/>
            <sz val="9"/>
            <color indexed="81"/>
            <rFont val="Segoe UI"/>
            <family val="2"/>
          </rPr>
          <t>RETORNOU DIA 10/03/26</t>
        </r>
      </text>
    </comment>
    <comment ref="C35" authorId="0" shapeId="0" xr:uid="{FA322ECF-F44F-4974-A4D3-779988542F31}">
      <text>
        <r>
          <rPr>
            <b/>
            <sz val="9"/>
            <color indexed="81"/>
            <rFont val="Segoe UI"/>
            <family val="2"/>
          </rPr>
          <t>RETORNO DO PARATY - DIA 13/03/26-  PROCESSO 6758</t>
        </r>
      </text>
    </comment>
    <comment ref="E35" authorId="0" shapeId="0" xr:uid="{4F2F53EA-C545-4DCB-9D10-B1601FA3C134}">
      <text>
        <r>
          <rPr>
            <b/>
            <sz val="9"/>
            <color indexed="81"/>
            <rFont val="Segoe UI"/>
            <family val="2"/>
          </rPr>
          <t>SAIDA 07/01/25 - PROCESSO: 6551</t>
        </r>
      </text>
    </comment>
    <comment ref="C36" authorId="0" shapeId="0" xr:uid="{C472E277-451F-4FB4-A406-3B6086192898}">
      <text>
        <r>
          <rPr>
            <b/>
            <sz val="9"/>
            <color indexed="81"/>
            <rFont val="Segoe UI"/>
            <family val="2"/>
          </rPr>
          <t>RETORNOU DIA 19/02/26 - P-08 - PROCESSO: 6805</t>
        </r>
      </text>
    </comment>
    <comment ref="E36" authorId="0" shapeId="0" xr:uid="{320BBFC7-00A3-4381-8B10-4171014FF071}">
      <text>
        <r>
          <rPr>
            <b/>
            <sz val="9"/>
            <color indexed="81"/>
            <rFont val="Segoe UI"/>
            <family val="2"/>
          </rPr>
          <t>AGUARD. SAIDA 
PROCESSO: 6805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37" authorId="0" shapeId="0" xr:uid="{CEA39820-1AA0-4D25-B0EA-B060FF2D10D6}">
      <text>
        <r>
          <rPr>
            <b/>
            <sz val="9"/>
            <color indexed="81"/>
            <rFont val="Segoe UI"/>
            <family val="2"/>
          </rPr>
          <t>RETRONOU DA WHITE MARTINS
DIA 10/02/26 - NF'S 121026 E 775
----------------------------
RETORNOU DIA 06/02/26 - TRIDENT P-08 - PROCESSO: 6805</t>
        </r>
      </text>
    </comment>
    <comment ref="C38" authorId="0" shapeId="0" xr:uid="{8DB2862A-002F-4630-A8A9-D2078D7DC8F1}">
      <text>
        <r>
          <rPr>
            <b/>
            <sz val="9"/>
            <color indexed="81"/>
            <rFont val="Segoe UI"/>
            <family val="2"/>
          </rPr>
          <t>RETRONOU DA WHITE MARTINS
DIA 10/02/26 - NF'S 121026 E 775
----------------------------
RETORNOU DIA 06/02/26 - TRIDENT P-08 - PROCESSO: 6805</t>
        </r>
      </text>
    </comment>
    <comment ref="C39" authorId="0" shapeId="0" xr:uid="{2FA51219-8710-4D08-AD95-E53CD77B1DC7}">
      <text>
        <r>
          <rPr>
            <b/>
            <sz val="9"/>
            <color indexed="81"/>
            <rFont val="Segoe UI"/>
            <family val="2"/>
          </rPr>
          <t>RETORNOU DIA 18/09/25</t>
        </r>
      </text>
    </comment>
    <comment ref="E39" authorId="0" shapeId="0" xr:uid="{9D578039-5770-45EC-BB41-50393C2E0948}">
      <text>
        <r>
          <rPr>
            <b/>
            <sz val="9"/>
            <color indexed="81"/>
            <rFont val="Segoe UI"/>
            <family val="2"/>
          </rPr>
          <t>SAIDA 22/10/25
PROCESSO: 6758</t>
        </r>
      </text>
    </comment>
    <comment ref="C40" authorId="0" shapeId="0" xr:uid="{B613AB53-0A33-476F-9CA1-FA36ED67D5CD}">
      <text>
        <r>
          <rPr>
            <b/>
            <sz val="9"/>
            <color indexed="81"/>
            <rFont val="Segoe UI"/>
            <family val="2"/>
          </rPr>
          <t>RETORNOU DIA 10/03/26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</author>
    <author>Logística</author>
  </authors>
  <commentList>
    <comment ref="A2" authorId="0" shapeId="0" xr:uid="{0A9A7F4B-FA37-4EAD-844A-C0B7EBFD948C}">
      <text>
        <r>
          <rPr>
            <b/>
            <sz val="10"/>
            <color indexed="81"/>
            <rFont val="Segoe UI"/>
            <family val="2"/>
          </rPr>
          <t>ELGI</t>
        </r>
      </text>
    </comment>
    <comment ref="B2" authorId="0" shapeId="0" xr:uid="{A56079E8-455A-4A15-AC37-9DF74620554D}">
      <text>
        <r>
          <rPr>
            <b/>
            <sz val="9"/>
            <color indexed="81"/>
            <rFont val="Segoe UI"/>
            <family val="2"/>
          </rPr>
          <t>RETORNOU DIA 02/12/25 - ILHA BELA - PROCESSO: 6695</t>
        </r>
      </text>
    </comment>
    <comment ref="D2" authorId="0" shapeId="0" xr:uid="{5FF61102-AF34-4039-B628-28F0617A0641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A3" authorId="0" shapeId="0" xr:uid="{5EA3AE4C-B432-4D58-9702-4CE13BD48C65}">
      <text>
        <r>
          <rPr>
            <b/>
            <sz val="9"/>
            <color indexed="81"/>
            <rFont val="Segoe UI"/>
            <family val="2"/>
          </rPr>
          <t>ELGI</t>
        </r>
      </text>
    </comment>
    <comment ref="B3" authorId="1" shapeId="0" xr:uid="{D9EAA9A9-1DB4-4880-97EA-54F5641D017C}">
      <text>
        <r>
          <rPr>
            <b/>
            <sz val="9"/>
            <color indexed="81"/>
            <rFont val="Segoe UI"/>
            <family val="2"/>
          </rPr>
          <t>RETORNO DO SAQUAREMA - DIA 05/08/25 - PROCESSO: 6651</t>
        </r>
      </text>
    </comment>
    <comment ref="D3" authorId="0" shapeId="0" xr:uid="{D06E3691-D084-46A6-AFF3-39D4DEDCB51D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F3" authorId="0" shapeId="0" xr:uid="{481EE8E1-3B71-462B-9D83-8A6A1C895017}">
      <text>
        <r>
          <rPr>
            <b/>
            <sz val="9"/>
            <color indexed="81"/>
            <rFont val="Segoe UI"/>
            <family val="2"/>
          </rPr>
          <t>ESLINGA 3,90M</t>
        </r>
      </text>
    </comment>
    <comment ref="A4" authorId="0" shapeId="0" xr:uid="{36A7A38B-151F-49A6-95C4-BCAABAA00609}">
      <text>
        <r>
          <rPr>
            <b/>
            <sz val="9"/>
            <color indexed="81"/>
            <rFont val="Segoe UI"/>
            <family val="2"/>
          </rPr>
          <t>ATLAS</t>
        </r>
      </text>
    </comment>
    <comment ref="B4" authorId="0" shapeId="0" xr:uid="{19DD2B8B-F995-49BB-9BF9-555A42996AF1}">
      <text>
        <r>
          <rPr>
            <b/>
            <sz val="9"/>
            <color indexed="81"/>
            <rFont val="Segoe UI"/>
            <family val="2"/>
          </rPr>
          <t>RETORNO 05/06/25 - MV27 
PROCESSO: 6630</t>
        </r>
      </text>
    </comment>
    <comment ref="A5" authorId="0" shapeId="0" xr:uid="{4DEA9137-EB58-4A04-99DA-779506D567B4}">
      <text>
        <r>
          <rPr>
            <b/>
            <sz val="9"/>
            <color indexed="81"/>
            <rFont val="Segoe UI"/>
            <family val="2"/>
          </rPr>
          <t>ATLAS</t>
        </r>
      </text>
    </comment>
    <comment ref="B5" authorId="0" shapeId="0" xr:uid="{805BDFA3-FDE6-4BBA-BFF0-F328B1130C4E}">
      <text>
        <r>
          <rPr>
            <b/>
            <sz val="9"/>
            <color indexed="81"/>
            <rFont val="Segoe UI"/>
            <family val="2"/>
          </rPr>
          <t>RETORNOU DIA 28/03/25 - PARATY - PROCESSO: 6567</t>
        </r>
      </text>
    </comment>
    <comment ref="A6" authorId="0" shapeId="0" xr:uid="{BEEC3FC4-495B-4986-8A3F-9A799E9BCCE4}">
      <text>
        <r>
          <rPr>
            <b/>
            <sz val="9"/>
            <color indexed="81"/>
            <rFont val="Segoe UI"/>
            <family val="2"/>
          </rPr>
          <t>ELGI</t>
        </r>
      </text>
    </comment>
    <comment ref="B6" authorId="0" shapeId="0" xr:uid="{58E0F32C-C0B2-4B99-AF7A-CEBE5B256BDE}">
      <text>
        <r>
          <rPr>
            <b/>
            <sz val="9"/>
            <color indexed="81"/>
            <rFont val="Segoe UI"/>
            <family val="2"/>
          </rPr>
          <t>RETORNOU DIA 10/02/26 - MARICA - PROCESSO: 6731</t>
        </r>
      </text>
    </comment>
    <comment ref="D6" authorId="0" shapeId="0" xr:uid="{5CAFB3BD-D889-4EE9-A10B-2BF96BBD5A39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A7" authorId="0" shapeId="0" xr:uid="{C20D27C9-B37F-4E5D-ABA4-3ECAAD546628}">
      <text>
        <r>
          <rPr>
            <b/>
            <sz val="9"/>
            <color indexed="81"/>
            <rFont val="Segoe UI"/>
            <family val="2"/>
          </rPr>
          <t>ATLAS</t>
        </r>
      </text>
    </comment>
    <comment ref="B7" authorId="0" shapeId="0" xr:uid="{AE1E0D6B-E44A-4410-A586-CD882154348C}">
      <text>
        <r>
          <rPr>
            <b/>
            <sz val="9"/>
            <color indexed="81"/>
            <rFont val="Segoe UI"/>
            <family val="2"/>
          </rPr>
          <t>RETORNOU DO ESS 
DIA 06/03/26 - PROCESSO 6666</t>
        </r>
      </text>
    </comment>
    <comment ref="A8" authorId="0" shapeId="0" xr:uid="{F78D253A-73C6-4A75-8A1F-6B243B418F9F}">
      <text>
        <r>
          <rPr>
            <b/>
            <sz val="9"/>
            <color indexed="81"/>
            <rFont val="Segoe UI"/>
            <family val="2"/>
          </rPr>
          <t>ATLAS</t>
        </r>
      </text>
    </comment>
    <comment ref="B8" authorId="0" shapeId="0" xr:uid="{C4C168C8-CBC0-4B4F-8480-954A219A31F7}">
      <text>
        <r>
          <rPr>
            <b/>
            <sz val="9"/>
            <color indexed="81"/>
            <rFont val="Segoe UI"/>
            <family val="2"/>
          </rPr>
          <t>RETORNOU DO ESS 
DIA 06/03/26 - PROCESSO 6666</t>
        </r>
      </text>
    </comment>
    <comment ref="A9" authorId="0" shapeId="0" xr:uid="{D1E3AC06-ED44-46C3-8C35-9FEF02EF7B8F}">
      <text>
        <r>
          <rPr>
            <b/>
            <sz val="9"/>
            <color indexed="81"/>
            <rFont val="Segoe UI"/>
            <family val="2"/>
          </rPr>
          <t>COMPRESSOR ALUGADO NA COMPRIMA</t>
        </r>
      </text>
    </comment>
    <comment ref="B9" authorId="1" shapeId="0" xr:uid="{8BBBCC68-B2AB-468B-82C9-7BE8170D77FC}">
      <text>
        <r>
          <rPr>
            <b/>
            <sz val="9"/>
            <color indexed="81"/>
            <rFont val="Segoe UI"/>
            <family val="2"/>
          </rPr>
          <t>RETORNOU 27/01/25
OBS.: COMPRESSOR ALUGADO NA COMPRIMA.</t>
        </r>
      </text>
    </comment>
    <comment ref="A10" authorId="0" shapeId="0" xr:uid="{51D7FC0A-AFAD-4AAF-991A-A9DE259F6332}">
      <text>
        <r>
          <rPr>
            <b/>
            <sz val="9"/>
            <color indexed="81"/>
            <rFont val="Segoe UI"/>
            <family val="2"/>
          </rPr>
          <t>ELGI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0" authorId="0" shapeId="0" xr:uid="{A90566E1-BB80-4F6B-BDED-430D03461D38}">
      <text>
        <r>
          <rPr>
            <b/>
            <sz val="9"/>
            <color indexed="81"/>
            <rFont val="Segoe UI"/>
            <family val="2"/>
          </rPr>
          <t>RETORNOU DIA 10/02/26 - MARICA - PROCESSO: 6731</t>
        </r>
      </text>
    </comment>
    <comment ref="D10" authorId="0" shapeId="0" xr:uid="{6D1BE389-B648-4620-A115-6C46E6341661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A11" authorId="0" shapeId="0" xr:uid="{38FF9591-2E51-4D5F-A55E-92B11A21F511}">
      <text>
        <r>
          <rPr>
            <b/>
            <sz val="9"/>
            <color indexed="81"/>
            <rFont val="Segoe UI"/>
            <family val="2"/>
          </rPr>
          <t>ELGI 900PCM</t>
        </r>
      </text>
    </comment>
    <comment ref="B11" authorId="0" shapeId="0" xr:uid="{083DF78B-F9B8-497D-9B05-A7CDE4308BAD}">
      <text>
        <r>
          <rPr>
            <b/>
            <sz val="9"/>
            <color indexed="81"/>
            <rFont val="Segoe UI"/>
            <family val="2"/>
          </rPr>
          <t>RETORNOU DIA 09/05/25 - PROCESSO 6605</t>
        </r>
      </text>
    </comment>
    <comment ref="A12" authorId="0" shapeId="0" xr:uid="{E044F16E-7C98-42DE-9ECE-57E71B1F52C4}">
      <text>
        <r>
          <rPr>
            <b/>
            <sz val="9"/>
            <color indexed="81"/>
            <rFont val="Segoe UI"/>
            <family val="2"/>
          </rPr>
          <t>ATLAS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2" authorId="0" shapeId="0" xr:uid="{8A2F886E-002A-429B-895D-37F632B91DE4}">
      <text>
        <r>
          <rPr>
            <b/>
            <sz val="9"/>
            <color indexed="81"/>
            <rFont val="Segoe UI"/>
            <family val="2"/>
          </rPr>
          <t>RETORNOU DO FPSO RAIA DIA 17/11/25 - PROCESSO 6766</t>
        </r>
      </text>
    </comment>
    <comment ref="A13" authorId="0" shapeId="0" xr:uid="{5BFB3AC8-DFC4-4776-92CF-FFA81B37D013}">
      <text>
        <r>
          <rPr>
            <b/>
            <sz val="9"/>
            <color indexed="81"/>
            <rFont val="Segoe UI"/>
            <family val="2"/>
          </rPr>
          <t>ALUGADO COMPRIMA ELETRICA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3" authorId="0" shapeId="0" xr:uid="{A6B46AE2-59C3-4B85-91B8-D3AFD2BBDB16}">
      <text>
        <r>
          <rPr>
            <b/>
            <sz val="9"/>
            <color indexed="81"/>
            <rFont val="Segoe UI"/>
            <family val="2"/>
          </rPr>
          <t>RETORNOU DIA 09/02/25 - FPSO VITORIA - PROCESSO: 6669 (SKID ELÉTRICO)</t>
        </r>
      </text>
    </comment>
    <comment ref="A14" authorId="0" shapeId="0" xr:uid="{37C12E5F-4A92-437B-8176-6F382B5D0CF3}">
      <text>
        <r>
          <rPr>
            <b/>
            <sz val="9"/>
            <color indexed="81"/>
            <rFont val="Segoe UI"/>
            <family val="2"/>
          </rPr>
          <t>ATLAS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4" authorId="0" shapeId="0" xr:uid="{27B7D3B4-BFEC-4C1F-866E-39590B565D5A}">
      <text>
        <r>
          <rPr>
            <b/>
            <sz val="9"/>
            <color indexed="81"/>
            <rFont val="Segoe UI"/>
            <family val="2"/>
          </rPr>
          <t>RETORNO 05/06/25 - MV27 
PROCESSO: 6630</t>
        </r>
      </text>
    </comment>
    <comment ref="A15" authorId="0" shapeId="0" xr:uid="{44C577DD-CEA5-4A0C-8766-40236DD820A4}">
      <text>
        <r>
          <rPr>
            <b/>
            <sz val="9"/>
            <color indexed="81"/>
            <rFont val="Segoe UI"/>
            <family val="2"/>
          </rPr>
          <t>ATLAS</t>
        </r>
      </text>
    </comment>
    <comment ref="B15" authorId="0" shapeId="0" xr:uid="{85266DF1-C258-4B51-BF9C-72B6F19CD84A}">
      <text>
        <r>
          <rPr>
            <b/>
            <sz val="9"/>
            <color indexed="81"/>
            <rFont val="Segoe UI"/>
            <family val="2"/>
          </rPr>
          <t>RETORNOU DIA 29/01/25 - ANCHIETA - PROCESSO: 6127 / 6130</t>
        </r>
      </text>
    </comment>
    <comment ref="E15" authorId="1" shapeId="0" xr:uid="{02FCB30A-DD84-48E6-B54C-2D139906D119}">
      <text>
        <r>
          <rPr>
            <b/>
            <sz val="9"/>
            <color indexed="81"/>
            <rFont val="Segoe UI"/>
            <family val="2"/>
          </rPr>
          <t>CERTIFICADO A BORDO PELA HGM</t>
        </r>
      </text>
    </comment>
    <comment ref="A16" authorId="0" shapeId="0" xr:uid="{41016CA5-570E-4C28-9996-009E38070C33}">
      <text>
        <r>
          <rPr>
            <b/>
            <sz val="9"/>
            <color indexed="81"/>
            <rFont val="Segoe UI"/>
            <family val="2"/>
          </rPr>
          <t>ELGI</t>
        </r>
      </text>
    </comment>
    <comment ref="B16" authorId="0" shapeId="0" xr:uid="{5F8D5F0D-A6DD-4A4E-BAB5-59955D620ADF}">
      <text>
        <r>
          <rPr>
            <b/>
            <sz val="9"/>
            <color indexed="81"/>
            <rFont val="Segoe UI"/>
            <family val="2"/>
          </rPr>
          <t>SAQUAREMA -  PROCESSO: 6319 - RETORNO 21/10/24</t>
        </r>
      </text>
    </comment>
    <comment ref="D16" authorId="0" shapeId="0" xr:uid="{C31D8CF7-FD3F-4AF8-A253-543E014B92F1}">
      <text>
        <r>
          <rPr>
            <b/>
            <sz val="9"/>
            <color indexed="81"/>
            <rFont val="Segoe UI"/>
            <family val="2"/>
          </rPr>
          <t>SAIDA 03/02/25
PROCESSO: 6127 / 6130</t>
        </r>
      </text>
    </comment>
    <comment ref="A17" authorId="0" shapeId="0" xr:uid="{E6F6D1CE-6479-40B0-9C26-23F04CABF67D}">
      <text>
        <r>
          <rPr>
            <b/>
            <sz val="9"/>
            <color indexed="81"/>
            <rFont val="Segoe UI"/>
            <family val="2"/>
          </rPr>
          <t>ELGI</t>
        </r>
      </text>
    </comment>
    <comment ref="B17" authorId="0" shapeId="0" xr:uid="{4DED697B-1250-4EF3-BD49-C26CC1711E06}">
      <text>
        <r>
          <rPr>
            <b/>
            <sz val="9"/>
            <color indexed="81"/>
            <rFont val="Segoe UI"/>
            <family val="2"/>
          </rPr>
          <t>SAQUAREMA -  PROCESSO: 6319 - RETORNO 21/10/24</t>
        </r>
      </text>
    </comment>
    <comment ref="D17" authorId="0" shapeId="0" xr:uid="{93EE3D93-9B30-46FD-B898-546422DA08C8}">
      <text>
        <r>
          <rPr>
            <b/>
            <sz val="9"/>
            <color indexed="81"/>
            <rFont val="Segoe UI"/>
            <family val="2"/>
          </rPr>
          <t>SAIDA 03/02/25
PROCESSO: 6127 / 6130</t>
        </r>
      </text>
    </comment>
    <comment ref="A18" authorId="0" shapeId="0" xr:uid="{63C37D68-64FA-465F-8DC6-66BA9C4C0E11}">
      <text>
        <r>
          <rPr>
            <b/>
            <sz val="9"/>
            <color indexed="81"/>
            <rFont val="Segoe UI"/>
            <family val="2"/>
          </rPr>
          <t>ELGI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8" authorId="0" shapeId="0" xr:uid="{00368F7D-EA61-441E-BD95-F6BD03F4BB31}">
      <text>
        <r>
          <rPr>
            <b/>
            <sz val="9"/>
            <color indexed="81"/>
            <rFont val="Segoe UI"/>
            <family val="2"/>
          </rPr>
          <t>RETORNOU DIA  06/04/26 - PROCESSO: 6775 - FPSO VITORIA</t>
        </r>
      </text>
    </comment>
    <comment ref="D18" authorId="0" shapeId="0" xr:uid="{45F932B8-56D3-42EF-AB0E-9B9B4738908F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A19" authorId="0" shapeId="0" xr:uid="{FC194F93-2C71-4CD1-8F3A-C5E79447B884}">
      <text>
        <r>
          <rPr>
            <b/>
            <sz val="9"/>
            <color indexed="81"/>
            <rFont val="Segoe UI"/>
            <family val="2"/>
          </rPr>
          <t>ELGI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9" authorId="0" shapeId="0" xr:uid="{603FC32B-0F04-4EFA-B6B2-AB5A039301EF}">
      <text>
        <r>
          <rPr>
            <b/>
            <sz val="9"/>
            <color indexed="81"/>
            <rFont val="Segoe UI"/>
            <family val="2"/>
          </rPr>
          <t>RETORNOU DIA  06/04/26 - PROCESSO: 6775 - FPSO VITORIA</t>
        </r>
      </text>
    </comment>
    <comment ref="D19" authorId="0" shapeId="0" xr:uid="{40DE8275-25F6-48A4-AA99-2DA6BA4CB0C2}">
      <text>
        <r>
          <rPr>
            <b/>
            <sz val="9"/>
            <color indexed="81"/>
            <rFont val="Segoe UI"/>
            <family val="2"/>
          </rPr>
          <t>SAIDA 13/05/26
PROCESSO: TBI</t>
        </r>
      </text>
    </comment>
    <comment ref="A20" authorId="0" shapeId="0" xr:uid="{1DA8B3CF-2575-4233-8058-3C8C1071C7DC}">
      <text>
        <r>
          <rPr>
            <b/>
            <sz val="9"/>
            <color indexed="81"/>
            <rFont val="Segoe UI"/>
            <family val="2"/>
          </rPr>
          <t>ELGI 1500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20" authorId="0" shapeId="0" xr:uid="{DB369BFC-57CC-4854-BA1B-90E4E41A976E}">
      <text>
        <r>
          <rPr>
            <b/>
            <sz val="9"/>
            <color indexed="81"/>
            <rFont val="Segoe UI"/>
            <family val="2"/>
          </rPr>
          <t>RETORNOU DIA  03/02/26 - PROCESSO: 6674 - MV30</t>
        </r>
      </text>
    </comment>
    <comment ref="A21" authorId="0" shapeId="0" xr:uid="{E52D910A-BBB7-4C7C-9E2C-6C043767E6C1}">
      <text>
        <r>
          <rPr>
            <b/>
            <sz val="9"/>
            <color indexed="81"/>
            <rFont val="Segoe UI"/>
            <family val="2"/>
          </rPr>
          <t>ELGI 1500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21" authorId="0" shapeId="0" xr:uid="{7FC35427-9B41-4430-8188-6C58B6701F82}">
      <text>
        <r>
          <rPr>
            <b/>
            <sz val="9"/>
            <color indexed="81"/>
            <rFont val="Segoe UI"/>
            <family val="2"/>
          </rPr>
          <t>RETORNOU DIA  03/02/26 - PROCESSO: 6674 - MV30</t>
        </r>
      </text>
    </comment>
    <comment ref="A22" authorId="0" shapeId="0" xr:uid="{ECED2CF2-6AEC-445D-801A-CE180D330E71}">
      <text>
        <r>
          <rPr>
            <b/>
            <sz val="9"/>
            <color indexed="81"/>
            <rFont val="Segoe UI"/>
            <family val="2"/>
          </rPr>
          <t>ELGI 1500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22" authorId="1" shapeId="0" xr:uid="{19F4D50A-6BA9-498D-A46C-117A5C32DC43}">
      <text>
        <r>
          <rPr>
            <b/>
            <sz val="9"/>
            <color indexed="81"/>
            <rFont val="Segoe UI"/>
            <family val="2"/>
          </rPr>
          <t>RETORNO DO MARICA - DIA 04/02/26 - PROCESSO: 6731</t>
        </r>
      </text>
    </comment>
    <comment ref="D22" authorId="0" shapeId="0" xr:uid="{91EF2BAA-F73C-4803-905A-DEDFA45463FC}">
      <text>
        <r>
          <rPr>
            <b/>
            <sz val="9"/>
            <color indexed="81"/>
            <rFont val="Segoe UI"/>
            <family val="2"/>
          </rPr>
          <t>AGUAD.  SAIDA
PROCESSO: 6891</t>
        </r>
      </text>
    </comment>
    <comment ref="A23" authorId="0" shapeId="0" xr:uid="{EE2CE58B-E63C-432A-9B57-D16C8BB8D5C4}">
      <text>
        <r>
          <rPr>
            <b/>
            <sz val="9"/>
            <color indexed="81"/>
            <rFont val="Segoe UI"/>
            <family val="2"/>
          </rPr>
          <t>ELGI 1500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23" authorId="1" shapeId="0" xr:uid="{4B94B3A2-29E6-44A3-B377-64315F73D46D}">
      <text>
        <r>
          <rPr>
            <b/>
            <sz val="9"/>
            <color indexed="81"/>
            <rFont val="Segoe UI"/>
            <family val="2"/>
          </rPr>
          <t>RETORNO DO MARICA - DIA 04/02/26 - PROCESSO: 6731</t>
        </r>
      </text>
    </comment>
    <comment ref="D23" authorId="0" shapeId="0" xr:uid="{B018524C-F82A-45AF-9FE0-D5ED856900EC}">
      <text>
        <r>
          <rPr>
            <b/>
            <sz val="9"/>
            <color indexed="81"/>
            <rFont val="Segoe UI"/>
            <family val="2"/>
          </rPr>
          <t>AGUAD.  SAIDA
PROCESSO: 6891</t>
        </r>
      </text>
    </comment>
    <comment ref="A24" authorId="0" shapeId="0" xr:uid="{8FFCD414-6913-4B71-9553-40894C3358C6}">
      <text>
        <r>
          <rPr>
            <b/>
            <sz val="9"/>
            <color indexed="81"/>
            <rFont val="Segoe UI"/>
            <family val="2"/>
          </rPr>
          <t>ELGI 1500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24" authorId="0" shapeId="0" xr:uid="{68258D78-34D5-4CCE-94F2-E3BF4FD02F27}">
      <text>
        <r>
          <rPr>
            <b/>
            <sz val="9"/>
            <color indexed="81"/>
            <rFont val="Segoe UI"/>
            <family val="2"/>
          </rPr>
          <t>RETORNOU DO MV30 DIA 16/02/25 - PROCESSO 6674</t>
        </r>
      </text>
    </comment>
    <comment ref="D24" authorId="0" shapeId="0" xr:uid="{CA48FEC9-F086-4CE5-849E-15E416329FE0}">
      <text>
        <r>
          <rPr>
            <b/>
            <sz val="9"/>
            <color indexed="81"/>
            <rFont val="Segoe UI"/>
            <family val="2"/>
          </rPr>
          <t>AGUARD. SAÍDA - PROCESSO 6863</t>
        </r>
      </text>
    </comment>
    <comment ref="A25" authorId="0" shapeId="0" xr:uid="{2CC15F35-9EF1-45A5-9D3F-E220923DC9DD}">
      <text>
        <r>
          <rPr>
            <b/>
            <sz val="9"/>
            <color indexed="81"/>
            <rFont val="Segoe UI"/>
            <family val="2"/>
          </rPr>
          <t>ELGI 1500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25" authorId="0" shapeId="0" xr:uid="{CFA24D34-9577-402D-91AB-C38D8BB00E29}">
      <text>
        <r>
          <rPr>
            <b/>
            <sz val="9"/>
            <color indexed="81"/>
            <rFont val="Segoe UI"/>
            <family val="2"/>
          </rPr>
          <t>RETORNOU DO MV30 DIA 16/02/25 - PROCESSO 6674</t>
        </r>
      </text>
    </comment>
    <comment ref="D25" authorId="0" shapeId="0" xr:uid="{DE10E836-19D4-4B25-B501-45462B2E3BD2}">
      <text>
        <r>
          <rPr>
            <b/>
            <sz val="9"/>
            <color indexed="81"/>
            <rFont val="Segoe UI"/>
            <family val="2"/>
          </rPr>
          <t>AGUARD. SAÍDA - PROCESSO 6863</t>
        </r>
      </text>
    </comment>
    <comment ref="A26" authorId="0" shapeId="0" xr:uid="{B83E5117-F53C-4406-86EF-B9F7255A89FE}">
      <text>
        <r>
          <rPr>
            <b/>
            <sz val="9"/>
            <color indexed="81"/>
            <rFont val="Segoe UI"/>
            <family val="2"/>
          </rPr>
          <t>ELGI 1500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26" authorId="0" shapeId="0" xr:uid="{4517CB96-6C0B-4204-A872-4E165A7F04AB}">
      <text>
        <r>
          <rPr>
            <b/>
            <sz val="9"/>
            <color indexed="81"/>
            <rFont val="Segoe UI"/>
            <family val="2"/>
          </rPr>
          <t>RETORNOU DO MV27 DIA 02/07/25 - PROCESSO 6597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Logística</author>
    <author>LOGISTICA</author>
  </authors>
  <commentList>
    <comment ref="B2" authorId="0" shapeId="0" xr:uid="{C19EBFA7-DDC8-4D9E-9C28-997A00299535}">
      <text>
        <r>
          <rPr>
            <b/>
            <sz val="9"/>
            <color indexed="81"/>
            <rFont val="Segoe UI"/>
            <family val="2"/>
          </rPr>
          <t>RETORNOU DO MV23 EM 29/09/23.</t>
        </r>
      </text>
    </comment>
    <comment ref="B3" authorId="0" shapeId="0" xr:uid="{DF8BFE1F-268E-46D9-A2BC-AF9F8B8F7753}">
      <text>
        <r>
          <rPr>
            <b/>
            <sz val="9"/>
            <color indexed="81"/>
            <rFont val="Segoe UI"/>
            <family val="2"/>
          </rPr>
          <t>RETORNOU DO MV29 - 29/12/2023.</t>
        </r>
      </text>
    </comment>
    <comment ref="D3" authorId="1" shapeId="0" xr:uid="{04536F95-E3A8-4B09-AD68-599F3FF38153}">
      <text>
        <r>
          <rPr>
            <b/>
            <sz val="9"/>
            <color indexed="81"/>
            <rFont val="Segoe UI"/>
            <family val="2"/>
          </rPr>
          <t>AGUARD. SAIDA
PROCESSO: 6127 / 6130</t>
        </r>
      </text>
    </comment>
    <comment ref="F3" authorId="1" shapeId="0" xr:uid="{28CF5600-8FBC-4066-8EF8-CA2985D30C30}">
      <text>
        <r>
          <rPr>
            <b/>
            <sz val="9"/>
            <color indexed="81"/>
            <rFont val="Segoe UI"/>
            <family val="2"/>
          </rPr>
          <t>ESLINGA 3,50M</t>
        </r>
      </text>
    </comment>
    <comment ref="B4" authorId="0" shapeId="0" xr:uid="{119ECC8A-58FB-4BA8-8B28-4F85F0E4F456}">
      <text>
        <r>
          <rPr>
            <b/>
            <sz val="9"/>
            <color indexed="81"/>
            <rFont val="Segoe UI"/>
            <family val="2"/>
          </rPr>
          <t>RETORNOU DO ANCHIETA NO DIA 14-06-24.</t>
        </r>
      </text>
    </comment>
    <comment ref="B5" authorId="1" shapeId="0" xr:uid="{8B51C4CB-E183-480E-97D5-7D7F1F6E2251}">
      <text>
        <r>
          <rPr>
            <b/>
            <sz val="9"/>
            <color indexed="81"/>
            <rFont val="Segoe UI"/>
            <family val="2"/>
          </rPr>
          <t>RETORNOU DIA 30/01/25 - ANCHIETA - PROCESSO: 6127 / 6130</t>
        </r>
      </text>
    </comment>
    <comment ref="E5" authorId="0" shapeId="0" xr:uid="{7F10A0CA-4A14-4A48-9611-B7F50A54E952}">
      <text>
        <r>
          <rPr>
            <b/>
            <sz val="9"/>
            <color indexed="81"/>
            <rFont val="Segoe UI"/>
            <family val="2"/>
          </rPr>
          <t>CERTIFICADO A BORDO PELA HGM</t>
        </r>
      </text>
    </comment>
    <comment ref="G5" authorId="0" shapeId="0" xr:uid="{8E0C23D1-61B1-4CDB-9919-F79F06D85BFD}">
      <text>
        <r>
          <rPr>
            <b/>
            <sz val="9"/>
            <color indexed="81"/>
            <rFont val="Segoe UI"/>
            <family val="2"/>
          </rPr>
          <t>CERTIFICADO A BORDO PELA HGM</t>
        </r>
      </text>
    </comment>
    <comment ref="B6" authorId="1" shapeId="0" xr:uid="{8AF3336B-4826-438D-B3F8-DBA2AD6A9B5B}">
      <text>
        <r>
          <rPr>
            <b/>
            <sz val="9"/>
            <color indexed="81"/>
            <rFont val="Segoe UI"/>
            <family val="2"/>
          </rPr>
          <t>RETORNOU DIA 23/02/26 - MARICA - PROCESSO: 6731</t>
        </r>
      </text>
    </comment>
    <comment ref="F6" authorId="1" shapeId="0" xr:uid="{9C38AA29-727C-4794-9422-86BCDA3961B6}">
      <text>
        <r>
          <rPr>
            <b/>
            <sz val="9"/>
            <color indexed="81"/>
            <rFont val="Segoe UI"/>
            <family val="2"/>
          </rPr>
          <t>ESLINGA 3,50M</t>
        </r>
      </text>
    </comment>
    <comment ref="B7" authorId="0" shapeId="0" xr:uid="{ED2793E6-24D2-420B-AFDB-A76E074B97B0}">
      <text>
        <r>
          <rPr>
            <b/>
            <sz val="9"/>
            <color indexed="81"/>
            <rFont val="Segoe UI"/>
            <family val="2"/>
          </rPr>
          <t>RETORNOU DO MARICA DIA 26/01/2026 
 - PROCESSO: 6731</t>
        </r>
      </text>
    </comment>
    <comment ref="D7" authorId="1" shapeId="0" xr:uid="{E47D0C44-7D5B-451E-8CA0-4F3B81E40CFE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F7" authorId="1" shapeId="0" xr:uid="{DE2443FF-D306-4716-81BC-E2F595680946}">
      <text>
        <r>
          <rPr>
            <b/>
            <sz val="9"/>
            <color indexed="81"/>
            <rFont val="Segoe UI"/>
            <family val="2"/>
          </rPr>
          <t>ESLINGA 3,50m</t>
        </r>
      </text>
    </comment>
    <comment ref="B8" authorId="1" shapeId="0" xr:uid="{925780B9-D8B0-4205-824A-C282140AC2FD}">
      <text>
        <r>
          <rPr>
            <b/>
            <sz val="9"/>
            <color indexed="81"/>
            <rFont val="Segoe UI"/>
            <family val="2"/>
          </rPr>
          <t>RETORNOU DIA  22/05/25 - PROCESSO: 6541 - MV22</t>
        </r>
      </text>
    </comment>
    <comment ref="F8" authorId="1" shapeId="0" xr:uid="{D604AD08-FEE6-4E41-834B-EE84927AA9DF}">
      <text>
        <r>
          <rPr>
            <b/>
            <sz val="9"/>
            <color indexed="81"/>
            <rFont val="Segoe UI"/>
            <family val="2"/>
          </rPr>
          <t>ESLINGA 3,50M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Logística</author>
    <author>LOGISTICA</author>
  </authors>
  <commentList>
    <comment ref="B2" authorId="0" shapeId="0" xr:uid="{D2EC5366-6586-4A10-B9C2-3C9A967F6AD3}">
      <text>
        <r>
          <rPr>
            <b/>
            <sz val="9"/>
            <color indexed="81"/>
            <rFont val="Segoe UI"/>
            <family val="2"/>
          </rPr>
          <t>RETORNOU DO MV27 DIA 28/11/2025 - PROCESSO 6718</t>
        </r>
      </text>
    </comment>
    <comment ref="D2" authorId="1" shapeId="0" xr:uid="{43002B53-6BF0-4DE4-8BDF-C17FC2FF7486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F2" authorId="1" shapeId="0" xr:uid="{9760FBFF-70F9-4F56-9CE5-88A9FE0B1DBB}">
      <text>
        <r>
          <rPr>
            <b/>
            <sz val="9"/>
            <color indexed="81"/>
            <rFont val="Segoe UI"/>
            <family val="2"/>
          </rPr>
          <t>ESLINGA 2,70M</t>
        </r>
      </text>
    </comment>
    <comment ref="B3" authorId="0" shapeId="0" xr:uid="{92BAF2B7-857F-4754-BB94-8F4CFAF98B02}">
      <text>
        <r>
          <rPr>
            <b/>
            <sz val="9"/>
            <color indexed="81"/>
            <rFont val="Segoe UI"/>
            <family val="2"/>
          </rPr>
          <t>RETORNOU DO MV27 DIA 27/11/2025 - PROCESSO 6718</t>
        </r>
      </text>
    </comment>
    <comment ref="D3" authorId="1" shapeId="0" xr:uid="{BFBC8D08-2E93-49E2-AFED-167E0F1EAC92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F3" authorId="1" shapeId="0" xr:uid="{96E08E40-7433-4FF8-B37C-C1121656DA7D}">
      <text>
        <r>
          <rPr>
            <b/>
            <sz val="9"/>
            <color indexed="81"/>
            <rFont val="Segoe UI"/>
            <family val="2"/>
          </rPr>
          <t>ESLINGA 2,60M</t>
        </r>
      </text>
    </comment>
    <comment ref="B4" authorId="0" shapeId="0" xr:uid="{EB99651A-8515-479C-A79B-E22F48BF4E05}">
      <text>
        <r>
          <rPr>
            <b/>
            <sz val="9"/>
            <color indexed="81"/>
            <rFont val="Segoe UI"/>
            <family val="2"/>
          </rPr>
          <t>RETORNOU DO MV27 DIA 27/11/2025 - PROCESSO 6718</t>
        </r>
      </text>
    </comment>
    <comment ref="D4" authorId="1" shapeId="0" xr:uid="{419E30C9-5568-4C8D-8708-DAECC17F13AD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F4" authorId="1" shapeId="0" xr:uid="{1ADE3D37-F359-488E-A8BA-AB3916C9ABEE}">
      <text>
        <r>
          <rPr>
            <b/>
            <sz val="9"/>
            <color indexed="81"/>
            <rFont val="Segoe UI"/>
            <family val="2"/>
          </rPr>
          <t>ESLINGA 2,70M</t>
        </r>
      </text>
    </comment>
    <comment ref="B5" authorId="0" shapeId="0" xr:uid="{6DC79E08-0C59-4C75-9E64-B47038EB6C32}">
      <text>
        <r>
          <rPr>
            <b/>
            <sz val="9"/>
            <color indexed="81"/>
            <rFont val="Segoe UI"/>
            <family val="2"/>
          </rPr>
          <t>RETORNOU DO MV27 DIA 27/11/2025 - PROCESSO 6718</t>
        </r>
      </text>
    </comment>
    <comment ref="D5" authorId="1" shapeId="0" xr:uid="{678B2E34-33A8-420E-8158-D44A74F8389F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F5" authorId="1" shapeId="0" xr:uid="{6C72364A-757A-4CD3-B06D-A5ECC5EBE03C}">
      <text>
        <r>
          <rPr>
            <b/>
            <sz val="9"/>
            <color indexed="81"/>
            <rFont val="Segoe UI"/>
            <family val="2"/>
          </rPr>
          <t>ESLINGA 2,60M</t>
        </r>
      </text>
    </comment>
    <comment ref="B6" authorId="0" shapeId="0" xr:uid="{107AE985-6FEB-4752-888C-FCA686237C30}">
      <text>
        <r>
          <rPr>
            <b/>
            <sz val="9"/>
            <color indexed="81"/>
            <rFont val="Segoe UI"/>
            <family val="2"/>
          </rPr>
          <t>RETORNOU DO MV27 DIA 27/11/2025 - PROCESSO 6718</t>
        </r>
      </text>
    </comment>
    <comment ref="D6" authorId="1" shapeId="0" xr:uid="{8D546ACE-7C5F-4FD0-AF2F-2AA49E768FDC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F6" authorId="1" shapeId="0" xr:uid="{6167E0D3-215C-4C51-B7DF-D70BAC47405A}">
      <text>
        <r>
          <rPr>
            <b/>
            <sz val="9"/>
            <color indexed="81"/>
            <rFont val="Segoe UI"/>
            <family val="2"/>
          </rPr>
          <t>ESLINGA 2,40M</t>
        </r>
      </text>
    </comment>
    <comment ref="B7" authorId="0" shapeId="0" xr:uid="{EC267ED9-F209-45ED-81CF-3D65A842CEFD}">
      <text>
        <r>
          <rPr>
            <b/>
            <sz val="9"/>
            <color indexed="81"/>
            <rFont val="Segoe UI"/>
            <family val="2"/>
          </rPr>
          <t>RETORNOU DO MV27 DIA 27/11/2025 - PROCESSO 6718</t>
        </r>
      </text>
    </comment>
    <comment ref="D7" authorId="1" shapeId="0" xr:uid="{0B6A729C-4FD3-4398-A845-8C613F90206D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F7" authorId="1" shapeId="0" xr:uid="{AF1CAF32-1939-405C-BE78-E3BC61E2A4E2}">
      <text>
        <r>
          <rPr>
            <b/>
            <sz val="9"/>
            <color indexed="81"/>
            <rFont val="Segoe UI"/>
            <family val="2"/>
          </rPr>
          <t>ESLINGA 2,40M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</author>
    <author>Logística</author>
  </authors>
  <commentList>
    <comment ref="B2" authorId="0" shapeId="0" xr:uid="{515407EB-F0B9-408D-A616-3D3A2BBCA866}">
      <text>
        <r>
          <rPr>
            <b/>
            <sz val="9"/>
            <color indexed="81"/>
            <rFont val="Segoe UI"/>
            <family val="2"/>
          </rPr>
          <t>RETORNOU DIA 02/12/25 - ILHA BELA - PROCESSO: 6695</t>
        </r>
      </text>
    </comment>
    <comment ref="D2" authorId="0" shapeId="0" xr:uid="{29632FBF-A3A3-43BD-83A6-E8D6AF0D3174}">
      <text>
        <r>
          <rPr>
            <b/>
            <sz val="9"/>
            <color indexed="81"/>
            <rFont val="Segoe UI"/>
            <family val="2"/>
          </rPr>
          <t>AGUARD. SAIDA
PROCESSO: 6804</t>
        </r>
      </text>
    </comment>
    <comment ref="F2" authorId="0" shapeId="0" xr:uid="{0A113605-78BB-4E6E-A0EE-B8680405CAFB}">
      <text>
        <r>
          <rPr>
            <b/>
            <sz val="9"/>
            <color indexed="81"/>
            <rFont val="Segoe UI"/>
            <family val="2"/>
          </rPr>
          <t>ESLINGA 3,20M</t>
        </r>
      </text>
    </comment>
    <comment ref="B3" authorId="0" shapeId="0" xr:uid="{6DE494C3-7A90-4AD6-9584-5FE0A6C63F16}">
      <text>
        <r>
          <rPr>
            <b/>
            <sz val="9"/>
            <color indexed="81"/>
            <rFont val="Segoe UI"/>
            <family val="2"/>
          </rPr>
          <t>RETORNOU DIA 29/01/25 - ANCHIETA - PROCESSO: 6127 / 6130</t>
        </r>
      </text>
    </comment>
    <comment ref="E3" authorId="1" shapeId="0" xr:uid="{9CA55900-DDD9-4B1D-A74C-7B7DBA029C26}">
      <text>
        <r>
          <rPr>
            <b/>
            <sz val="9"/>
            <color indexed="81"/>
            <rFont val="Segoe UI"/>
            <family val="2"/>
          </rPr>
          <t>CERTIFICADO A BORDO PELA HGM</t>
        </r>
      </text>
    </comment>
    <comment ref="G3" authorId="1" shapeId="0" xr:uid="{C6365D68-679D-4FD8-8D5D-6EBEE1CD3DAD}">
      <text>
        <r>
          <rPr>
            <b/>
            <sz val="9"/>
            <color indexed="81"/>
            <rFont val="Segoe UI"/>
            <family val="2"/>
          </rPr>
          <t>CERTIFICADO A BORDO PELA HGM</t>
        </r>
      </text>
    </comment>
    <comment ref="B4" authorId="0" shapeId="0" xr:uid="{3F70FFB0-FE2E-4A62-89B4-4F90EAD4C3C8}">
      <text>
        <r>
          <rPr>
            <b/>
            <sz val="9"/>
            <color indexed="81"/>
            <rFont val="Segoe UI"/>
            <family val="2"/>
          </rPr>
          <t>RETORNOU DIA  19/11/24 - PROCESSO: 6442 - ILHA BELA</t>
        </r>
      </text>
    </comment>
    <comment ref="D4" authorId="0" shapeId="0" xr:uid="{1AD2B25D-30CD-422D-8CD8-439A102161D2}">
      <text>
        <r>
          <rPr>
            <b/>
            <sz val="9"/>
            <color indexed="81"/>
            <rFont val="Segoe UI"/>
            <family val="2"/>
          </rPr>
          <t>SAIDA 03/02/25
PROCESSO: 6127 / 6130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Logística</author>
    <author>LOGISTICA</author>
  </authors>
  <commentList>
    <comment ref="B2" authorId="0" shapeId="0" xr:uid="{1E1B05A9-13EF-46C8-BE37-A83FA37488DC}">
      <text>
        <r>
          <rPr>
            <b/>
            <sz val="9"/>
            <color indexed="81"/>
            <rFont val="Segoe UI"/>
            <family val="2"/>
          </rPr>
          <t>RETORNOU DA ANNA NERY DIA 27/06/23.</t>
        </r>
      </text>
    </comment>
    <comment ref="B3" authorId="0" shapeId="0" xr:uid="{863A337B-6D26-42BF-B2B8-3BB5C37DFE9D}">
      <text>
        <r>
          <rPr>
            <b/>
            <sz val="9"/>
            <color indexed="81"/>
            <rFont val="Segoe UI"/>
            <family val="2"/>
          </rPr>
          <t>RETORNOU DA ANNA NERY DIA 27/06/23.</t>
        </r>
      </text>
    </comment>
    <comment ref="B4" authorId="1" shapeId="0" xr:uid="{76094AC3-CEB5-4531-A59A-D9ACC653ADAC}">
      <text>
        <r>
          <rPr>
            <b/>
            <sz val="9"/>
            <color indexed="81"/>
            <rFont val="Segoe UI"/>
            <family val="2"/>
          </rPr>
          <t>RETORNOU DIA 10/02/26 - MARICA - PROCESSO: 6799</t>
        </r>
      </text>
    </comment>
    <comment ref="D4" authorId="1" shapeId="0" xr:uid="{BBAD6BEB-173E-49C5-ACEE-86FB345D3104}">
      <text>
        <r>
          <rPr>
            <b/>
            <sz val="9"/>
            <color indexed="81"/>
            <rFont val="Segoe UI"/>
            <family val="2"/>
          </rPr>
          <t>AGUARD. SAÍDA - PROCESSO 6847</t>
        </r>
      </text>
    </comment>
    <comment ref="B5" authorId="1" shapeId="0" xr:uid="{8E791225-9433-4E53-A764-08E4D490CCC3}">
      <text>
        <r>
          <rPr>
            <b/>
            <sz val="9"/>
            <color indexed="81"/>
            <rFont val="Segoe UI"/>
            <family val="2"/>
          </rPr>
          <t>RETORNOU DIA 10/02/26 - MARICA - PROCESSO: 6799</t>
        </r>
      </text>
    </comment>
    <comment ref="D5" authorId="1" shapeId="0" xr:uid="{BE93E670-E1E0-42B0-A979-CB3D34762D20}">
      <text>
        <r>
          <rPr>
            <b/>
            <sz val="9"/>
            <color indexed="81"/>
            <rFont val="Segoe UI"/>
            <family val="2"/>
          </rPr>
          <t>AGUARD. SAÍDA - PROCESSO 6847</t>
        </r>
      </text>
    </comment>
    <comment ref="B6" authorId="1" shapeId="0" xr:uid="{672B4DBB-524D-4417-BA81-C17151B14DA5}">
      <text>
        <r>
          <rPr>
            <b/>
            <sz val="9"/>
            <color indexed="81"/>
            <rFont val="Segoe UI"/>
            <family val="2"/>
          </rPr>
          <t>RETORNOU DIA 10/02/26 - MARICA - PROCESSO: 6799</t>
        </r>
      </text>
    </comment>
    <comment ref="D6" authorId="1" shapeId="0" xr:uid="{3F506FFE-D565-4BAC-BF49-4CA48C46490B}">
      <text>
        <r>
          <rPr>
            <b/>
            <sz val="9"/>
            <color indexed="81"/>
            <rFont val="Segoe UI"/>
            <family val="2"/>
          </rPr>
          <t>AGUARD. SAÍDA - PROCESSO 6847</t>
        </r>
      </text>
    </comment>
    <comment ref="B7" authorId="1" shapeId="0" xr:uid="{C10A1E70-3AC3-44CF-8F3F-BBC41349BF2B}">
      <text>
        <r>
          <rPr>
            <b/>
            <sz val="9"/>
            <color indexed="81"/>
            <rFont val="Segoe UI"/>
            <family val="2"/>
          </rPr>
          <t>RETORNOU DIA 10/02/26 - MARICA - PROCESSO: 6799</t>
        </r>
      </text>
    </comment>
    <comment ref="D7" authorId="1" shapeId="0" xr:uid="{09A4DE4B-FB07-46BB-B40D-9256577685CF}">
      <text>
        <r>
          <rPr>
            <b/>
            <sz val="9"/>
            <color indexed="81"/>
            <rFont val="Segoe UI"/>
            <family val="2"/>
          </rPr>
          <t>AGUARD. SAÍDA - PROCESSO 6847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</author>
    <author>Logística</author>
  </authors>
  <commentList>
    <comment ref="B2" authorId="0" shapeId="0" xr:uid="{B812C8C4-8EE5-466F-8F21-29D5443D8F76}">
      <text>
        <r>
          <rPr>
            <b/>
            <sz val="9"/>
            <color indexed="81"/>
            <rFont val="Segoe UI"/>
            <family val="2"/>
          </rPr>
          <t>RETORNOU DO SEPETIBA - PROCESSO: 6312 - 03/05/24</t>
        </r>
      </text>
    </comment>
    <comment ref="B3" authorId="1" shapeId="0" xr:uid="{A4A74C1C-02E2-4B21-BFF0-09BE2ADB6AD1}">
      <text>
        <r>
          <rPr>
            <b/>
            <sz val="9"/>
            <color indexed="81"/>
            <rFont val="Segoe UI"/>
            <family val="2"/>
          </rPr>
          <t>RETORNOU DO MODEC MV22 DIA 12/06/24</t>
        </r>
      </text>
    </comment>
    <comment ref="B6" authorId="1" shapeId="0" xr:uid="{02C08680-4B27-4AD5-AE84-04D92A6A3015}">
      <text>
        <r>
          <rPr>
            <b/>
            <sz val="9"/>
            <color indexed="81"/>
            <rFont val="Segoe UI"/>
            <family val="2"/>
          </rPr>
          <t>RETORNOU DO MV27 DIA 28/11/2025 - PROCESSO 6718</t>
        </r>
      </text>
    </comment>
    <comment ref="D6" authorId="0" shapeId="0" xr:uid="{3D938D4E-3885-492E-A084-F01973A76121}">
      <text>
        <r>
          <rPr>
            <b/>
            <sz val="9"/>
            <color indexed="81"/>
            <rFont val="Segoe UI"/>
            <family val="2"/>
          </rPr>
          <t>AGUARD. SAIDA
PROCESSO: 6874
MOLSIEVE</t>
        </r>
      </text>
    </comment>
    <comment ref="F6" authorId="0" shapeId="0" xr:uid="{B13A9EA6-2454-4017-AD9D-B9C49C11A6BB}">
      <text>
        <r>
          <rPr>
            <b/>
            <sz val="9"/>
            <color indexed="81"/>
            <rFont val="Segoe UI"/>
            <family val="2"/>
          </rPr>
          <t>ESLINGA 3,0M</t>
        </r>
      </text>
    </comment>
    <comment ref="D7" authorId="0" shapeId="0" xr:uid="{B586662E-B87A-4AEC-9879-698550DDCCDC}">
      <text>
        <r>
          <rPr>
            <b/>
            <sz val="9"/>
            <color indexed="81"/>
            <rFont val="Segoe UI"/>
            <family val="2"/>
          </rPr>
          <t>SAIDA 13/11/24 - PROCESSO: 6493</t>
        </r>
      </text>
    </comment>
    <comment ref="B8" authorId="0" shapeId="0" xr:uid="{F1542C19-3157-463F-8126-D416B5418E35}">
      <text>
        <r>
          <rPr>
            <b/>
            <sz val="9"/>
            <color indexed="81"/>
            <rFont val="Segoe UI"/>
            <family val="2"/>
          </rPr>
          <t>RETORNOU DIA 05/08/25 PROCESSO 6701</t>
        </r>
      </text>
    </comment>
    <comment ref="D9" authorId="0" shapeId="0" xr:uid="{A66D8CBD-050F-4D2B-942A-50B08BD53B83}">
      <text>
        <r>
          <rPr>
            <b/>
            <sz val="9"/>
            <color indexed="81"/>
            <rFont val="Segoe UI"/>
            <family val="2"/>
          </rPr>
          <t>AGUARD. SAIDA
PROCESSO: 6668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Logística</author>
  </authors>
  <commentList>
    <comment ref="E3" authorId="0" shapeId="0" xr:uid="{AAF71401-F678-4B6C-A039-C2BFDAD4F576}">
      <text>
        <r>
          <rPr>
            <b/>
            <sz val="9"/>
            <color indexed="81"/>
            <rFont val="Segoe UI"/>
            <family val="2"/>
          </rPr>
          <t>CONFIRMAR NO RETORNO</t>
        </r>
      </text>
    </comment>
  </commentList>
</comments>
</file>

<file path=xl/sharedStrings.xml><?xml version="1.0" encoding="utf-8"?>
<sst xmlns="http://schemas.openxmlformats.org/spreadsheetml/2006/main" count="1307" uniqueCount="428">
  <si>
    <t>DNVU105277-0</t>
  </si>
  <si>
    <t>DNVU105221-4</t>
  </si>
  <si>
    <t>JCFU100016-3</t>
  </si>
  <si>
    <t>L7-66644</t>
  </si>
  <si>
    <t>JCFU100043-5</t>
  </si>
  <si>
    <t>JCFU100054-3</t>
  </si>
  <si>
    <t>JCFU100009-7</t>
  </si>
  <si>
    <t>L7-61035</t>
  </si>
  <si>
    <t>JCFU100057-0</t>
  </si>
  <si>
    <t>BC-26036</t>
  </si>
  <si>
    <t>DNVU105230-1</t>
  </si>
  <si>
    <t>DNVU105266-2</t>
  </si>
  <si>
    <t>DNVU105220-9</t>
  </si>
  <si>
    <t>DNVU105231-7</t>
  </si>
  <si>
    <t>DNVU105149-7</t>
  </si>
  <si>
    <t>DNVU105176-9</t>
  </si>
  <si>
    <t>DNVU105207-1</t>
  </si>
  <si>
    <t>DNVU105250-7</t>
  </si>
  <si>
    <t>DNVU105206-6</t>
  </si>
  <si>
    <t>DNVU105285-2</t>
  </si>
  <si>
    <t>L7-60197</t>
  </si>
  <si>
    <t>DNVU105229-8</t>
  </si>
  <si>
    <t>DNVU105238-5</t>
  </si>
  <si>
    <t>DNVU105170-6</t>
  </si>
  <si>
    <t>L7-65902/3</t>
  </si>
  <si>
    <t>DNVU105160-3</t>
  </si>
  <si>
    <t>L7-66641</t>
  </si>
  <si>
    <t>DNVU105159-0</t>
  </si>
  <si>
    <t>DNVU105164-5</t>
  </si>
  <si>
    <t>DNVU105174-8</t>
  </si>
  <si>
    <t>L7-66642</t>
  </si>
  <si>
    <t>DNVU105166-6</t>
  </si>
  <si>
    <t>DNVU105181-4</t>
  </si>
  <si>
    <t>DNVU105235-9</t>
  </si>
  <si>
    <t>IA0166/22-1</t>
  </si>
  <si>
    <t>L7-61032</t>
  </si>
  <si>
    <t>L7-65902/1</t>
  </si>
  <si>
    <t>L7-69950</t>
  </si>
  <si>
    <t>ATUAL</t>
  </si>
  <si>
    <t>LOCAÇÃO</t>
  </si>
  <si>
    <t>BASE</t>
  </si>
  <si>
    <t>SBM</t>
  </si>
  <si>
    <t>MODEC</t>
  </si>
  <si>
    <t>-</t>
  </si>
  <si>
    <t>ANCHIETA</t>
  </si>
  <si>
    <t>ESLINGA</t>
  </si>
  <si>
    <t>VALIDADE</t>
  </si>
  <si>
    <t>DESCRIÇÃO</t>
  </si>
  <si>
    <t>IDENTIFICAÇÃO</t>
  </si>
  <si>
    <t>?????</t>
  </si>
  <si>
    <t>BC-59714</t>
  </si>
  <si>
    <t>BC-59713</t>
  </si>
  <si>
    <t>5148-3</t>
  </si>
  <si>
    <t>L7-69873</t>
  </si>
  <si>
    <t>BC-59712</t>
  </si>
  <si>
    <t>BC-59715</t>
  </si>
  <si>
    <t>CME-BDN.001</t>
  </si>
  <si>
    <t>CME-BDN.002</t>
  </si>
  <si>
    <t>CME-BDN.003</t>
  </si>
  <si>
    <t>L7-59638</t>
  </si>
  <si>
    <t>10448-2</t>
  </si>
  <si>
    <t>SOS12A/00855</t>
  </si>
  <si>
    <t>S/ESLINGA</t>
  </si>
  <si>
    <t>JF141001637</t>
  </si>
  <si>
    <t>CME-BDN.005 (67190010)</t>
  </si>
  <si>
    <t>CME-BDN.004 (67190009)</t>
  </si>
  <si>
    <t>CME-V.D.P.100</t>
  </si>
  <si>
    <t>L7-68383</t>
  </si>
  <si>
    <t>5046-1</t>
  </si>
  <si>
    <t>L7-70004</t>
  </si>
  <si>
    <t>DNV131001 - UGN.001</t>
  </si>
  <si>
    <t>DNV181001 - UGN.002</t>
  </si>
  <si>
    <t>DNVU105162-4 - UGN.005</t>
  </si>
  <si>
    <t>DNVU105234-3 - UGN.006</t>
  </si>
  <si>
    <t>JCFU100024-5 - UGN.004</t>
  </si>
  <si>
    <t>PCUU6950013 - UGN.003</t>
  </si>
  <si>
    <t>DNVU105208-7 - UGN.007</t>
  </si>
  <si>
    <t>L7-59681</t>
  </si>
  <si>
    <t>10448-3</t>
  </si>
  <si>
    <t>L7-59878</t>
  </si>
  <si>
    <t>BC-2302943</t>
  </si>
  <si>
    <t>BC-2302944</t>
  </si>
  <si>
    <t>DESCONTINUAR!</t>
  </si>
  <si>
    <t>YINSON</t>
  </si>
  <si>
    <t>BC-2303109</t>
  </si>
  <si>
    <t>BC-2303110</t>
  </si>
  <si>
    <t>BC-2303865</t>
  </si>
  <si>
    <t>CME-V.D.P.101</t>
  </si>
  <si>
    <t>CME-V.D.P.102</t>
  </si>
  <si>
    <t>BC-2304204</t>
  </si>
  <si>
    <t>TOLU-916108-1</t>
  </si>
  <si>
    <t>SCZU-87346-3</t>
  </si>
  <si>
    <t>CME-AIR-COMP.001</t>
  </si>
  <si>
    <t>CME-AIR-COMP.002</t>
  </si>
  <si>
    <t>CME-AIR-COMP.003</t>
  </si>
  <si>
    <t>CME-AIR-COMP.004</t>
  </si>
  <si>
    <t>CME-AIR-COMP.005</t>
  </si>
  <si>
    <t>CME-AIR-COMP.006</t>
  </si>
  <si>
    <t>CME-AIR-COMP.007</t>
  </si>
  <si>
    <t>CME-AIR-COMP.008</t>
  </si>
  <si>
    <t>CME-AIR-COMP.009</t>
  </si>
  <si>
    <t>CME-AIR-COMP.010</t>
  </si>
  <si>
    <t>CME-AIR-COMP.011</t>
  </si>
  <si>
    <t>CME-AIR-COMP.012</t>
  </si>
  <si>
    <t>CME-AIR-COMP.013</t>
  </si>
  <si>
    <t>CME-AIR-COMP.014</t>
  </si>
  <si>
    <t>CME-AIR-COMP.015</t>
  </si>
  <si>
    <t>CME-AIR-COMP.016</t>
  </si>
  <si>
    <t>CME-AIR-COMP.017</t>
  </si>
  <si>
    <t>CME-AIR-COMP.018</t>
  </si>
  <si>
    <t>CONTINENTAL</t>
  </si>
  <si>
    <t>SAÍDA 18/12/23 - CONTINENTAL USA</t>
  </si>
  <si>
    <t>IA0166/22-2</t>
  </si>
  <si>
    <t>CME USA</t>
  </si>
  <si>
    <t>LOCAÇÃO ANTERIOR</t>
  </si>
  <si>
    <t>PRÓXIMA SAÍDA</t>
  </si>
  <si>
    <t>CME-AIR-COMP.019</t>
  </si>
  <si>
    <t>CME-AIR-COMP.020</t>
  </si>
  <si>
    <t>IMPORTADO</t>
  </si>
  <si>
    <t>SUBSEA7</t>
  </si>
  <si>
    <t>BC-2303861</t>
  </si>
  <si>
    <t>BC-2303860</t>
  </si>
  <si>
    <t>BC-2303108</t>
  </si>
  <si>
    <t>CME.CMF.001</t>
  </si>
  <si>
    <t>CME.BF2M.001</t>
  </si>
  <si>
    <t>TRIDENT</t>
  </si>
  <si>
    <t>BC-2303862</t>
  </si>
  <si>
    <t>BC-2303863</t>
  </si>
  <si>
    <t>CME-BF2M.002</t>
  </si>
  <si>
    <t>001</t>
  </si>
  <si>
    <t>L7-65902/4</t>
  </si>
  <si>
    <t>COMP. SEM SKID DEVIDO A LOCAÇÃO.</t>
  </si>
  <si>
    <t>L7-70005</t>
  </si>
  <si>
    <t>L7-61033</t>
  </si>
  <si>
    <t>CME-DNV-024</t>
  </si>
  <si>
    <t>CME-DNV-025</t>
  </si>
  <si>
    <t>CME-DNV-026</t>
  </si>
  <si>
    <t>CME-DNV-027</t>
  </si>
  <si>
    <t>CME-DNV-028</t>
  </si>
  <si>
    <t>CME-DNV-029</t>
  </si>
  <si>
    <t>CME-DNV-030</t>
  </si>
  <si>
    <t>CME-DNV-031</t>
  </si>
  <si>
    <t>CME-DNV-032</t>
  </si>
  <si>
    <t>CME-DNV-033</t>
  </si>
  <si>
    <t>CME-DNV-034</t>
  </si>
  <si>
    <t>CME-DNV-035</t>
  </si>
  <si>
    <t>CME-DNV-036</t>
  </si>
  <si>
    <t>CME-DNV-037</t>
  </si>
  <si>
    <t>CME-DNV-038</t>
  </si>
  <si>
    <t>CME-DNV-039</t>
  </si>
  <si>
    <t>BC-26035</t>
  </si>
  <si>
    <t>CME-BFHW.001</t>
  </si>
  <si>
    <t>EQUINOR</t>
  </si>
  <si>
    <t>BC-26038</t>
  </si>
  <si>
    <t>VENDIDO COMP. 004 E SKID COM COMP. 008.</t>
  </si>
  <si>
    <t>BC-2412785</t>
  </si>
  <si>
    <t>BC-2412783</t>
  </si>
  <si>
    <t>CME-DNV-QUAD.016</t>
  </si>
  <si>
    <t>CME-DNV-QUAD.017</t>
  </si>
  <si>
    <t>CME-DNV-QUAD.018</t>
  </si>
  <si>
    <t>CME-DNV-QUAD.019</t>
  </si>
  <si>
    <t>CME-DNV-QUAD.020</t>
  </si>
  <si>
    <t>CME-DNV-QUAD.001</t>
  </si>
  <si>
    <t>CME-DNV-QUAD.002</t>
  </si>
  <si>
    <t>CME-DNV-QUAD.003</t>
  </si>
  <si>
    <t>CME-DNV-QUAD.004</t>
  </si>
  <si>
    <t>CME-DNV-QUAD.005</t>
  </si>
  <si>
    <t>CME-DNV-QUAD.006</t>
  </si>
  <si>
    <t>CME-DNV-QUAD.007</t>
  </si>
  <si>
    <t>CME-DNV-QUAD.008</t>
  </si>
  <si>
    <t>CME-DNV-QUAD.009</t>
  </si>
  <si>
    <t>CME-DNV-QUAD.010</t>
  </si>
  <si>
    <t>CME-DNV-QUAD.011</t>
  </si>
  <si>
    <t>CME-DNV-QUAD.012</t>
  </si>
  <si>
    <t>CME-DNV-QUAD.013</t>
  </si>
  <si>
    <t>CME-DNV-QUAD.014</t>
  </si>
  <si>
    <t>CME-DNV-QUAD.015</t>
  </si>
  <si>
    <t>WHITE MARTINS</t>
  </si>
  <si>
    <t>GASES</t>
  </si>
  <si>
    <t>NITROGENIO</t>
  </si>
  <si>
    <t>HELIO</t>
  </si>
  <si>
    <t>CME-SKID-COMP.029</t>
  </si>
  <si>
    <t>CME.BLQE.008</t>
  </si>
  <si>
    <t>CME.BLQE.009</t>
  </si>
  <si>
    <t>L7-59879</t>
  </si>
  <si>
    <t>BC-2412787</t>
  </si>
  <si>
    <t>CME-AFTE.007</t>
  </si>
  <si>
    <t>CME-COMP.101</t>
  </si>
  <si>
    <t>CME-BDN.006</t>
  </si>
  <si>
    <t>CME-BDN.007</t>
  </si>
  <si>
    <t>SCHLUMBERGER</t>
  </si>
  <si>
    <t>CME 008</t>
  </si>
  <si>
    <t>CME-BLQE.012</t>
  </si>
  <si>
    <t>PARATY</t>
  </si>
  <si>
    <t>EM MANUTENÇÃO</t>
  </si>
  <si>
    <t>CME-SKD-CALD.001</t>
  </si>
  <si>
    <t>CME-SKD-CALD.002</t>
  </si>
  <si>
    <t>CME-SKD-CALD.003</t>
  </si>
  <si>
    <t>MANUTENÇÃO</t>
  </si>
  <si>
    <t>CME-AFTE.009</t>
  </si>
  <si>
    <t>CME-AFTE.001</t>
  </si>
  <si>
    <t>CME-AFTE.002</t>
  </si>
  <si>
    <t>CME-AFTE.003</t>
  </si>
  <si>
    <t>CME-AFTE.004</t>
  </si>
  <si>
    <t>CME-AFTE.005</t>
  </si>
  <si>
    <t>CME-AFTE.006</t>
  </si>
  <si>
    <t>CME-AFTE.008</t>
  </si>
  <si>
    <t>5148-4</t>
  </si>
  <si>
    <t>BC-2303859</t>
  </si>
  <si>
    <t>ILHA BELA</t>
  </si>
  <si>
    <t>MISC</t>
  </si>
  <si>
    <t>MDDC</t>
  </si>
  <si>
    <t>QUANTIDADE</t>
  </si>
  <si>
    <t>CME-DNV-021 - UGN.008</t>
  </si>
  <si>
    <t>R16-13-23287</t>
  </si>
  <si>
    <t>11103-111704</t>
  </si>
  <si>
    <t>CERTIFICADOS PELA SWIRE</t>
  </si>
  <si>
    <t>DNVU105203-0</t>
  </si>
  <si>
    <t>210303897</t>
  </si>
  <si>
    <t>PROCESSO</t>
  </si>
  <si>
    <t>LACRADO</t>
  </si>
  <si>
    <t>CME-AIR-COMP.021</t>
  </si>
  <si>
    <t>CME-AIR-COMP.022</t>
  </si>
  <si>
    <t>OBS: LIXAR SOLDAS DOS OLHAIS PARA INSPEÇÃO</t>
  </si>
  <si>
    <t>MLTU040150-6  (20PES)</t>
  </si>
  <si>
    <t>MLTU040145-0 (20PES)</t>
  </si>
  <si>
    <t>CME-MDT-DNV.001</t>
  </si>
  <si>
    <t>CME-MDT-DNV.002</t>
  </si>
  <si>
    <t>CME-MDT-DNV.003</t>
  </si>
  <si>
    <t>CME-MDT-DNV.004</t>
  </si>
  <si>
    <t>231204565</t>
  </si>
  <si>
    <t>231204564</t>
  </si>
  <si>
    <t xml:space="preserve"> SCHLUMBERGER </t>
  </si>
  <si>
    <t>RF0391</t>
  </si>
  <si>
    <t>***</t>
  </si>
  <si>
    <t>L7-69938</t>
  </si>
  <si>
    <t>BC-2303864</t>
  </si>
  <si>
    <t>165BAR</t>
  </si>
  <si>
    <t>CME-BLQE.003</t>
  </si>
  <si>
    <t>CME-BLQE.004</t>
  </si>
  <si>
    <t>CME-BLQE.005</t>
  </si>
  <si>
    <t>CME-BLQE.006</t>
  </si>
  <si>
    <t>CME-BLQE.007</t>
  </si>
  <si>
    <t>CME-BLQE.010</t>
  </si>
  <si>
    <t>CME-BLQE.011</t>
  </si>
  <si>
    <t>CME-BLQE.013</t>
  </si>
  <si>
    <t>CME-DNV-020 - UGN.009</t>
  </si>
  <si>
    <t>SAÍDA 07/08/25 - CONTINENTAL USA</t>
  </si>
  <si>
    <t>BC-2412786</t>
  </si>
  <si>
    <t>CME-HSL.018 (EVAPORADORA)</t>
  </si>
  <si>
    <t>BW ENERGY</t>
  </si>
  <si>
    <t>L7-59689</t>
  </si>
  <si>
    <t>CME-VAC-001</t>
  </si>
  <si>
    <t>BC-26244</t>
  </si>
  <si>
    <t>CME-FHO-001</t>
  </si>
  <si>
    <t>BC-26246</t>
  </si>
  <si>
    <t>CME-CIC-001</t>
  </si>
  <si>
    <t>BC-26245</t>
  </si>
  <si>
    <t>CME-SFL-001</t>
  </si>
  <si>
    <t>AIR DIVE</t>
  </si>
  <si>
    <t>CME-DNV-QUAD.021</t>
  </si>
  <si>
    <t>CME-DNV-QUAD.022</t>
  </si>
  <si>
    <t>CME-DNV-QUAD.023</t>
  </si>
  <si>
    <t>CME-DNV-QUAD.024</t>
  </si>
  <si>
    <t>CME-DNV-QUAD.025</t>
  </si>
  <si>
    <t>CME-DNV-QUAD.026</t>
  </si>
  <si>
    <t>CME-DNV-QUAD.027</t>
  </si>
  <si>
    <t>CME-DNV-QUAD.028</t>
  </si>
  <si>
    <t>CME-DNV-QUAD.029</t>
  </si>
  <si>
    <t>CME-DNV-QUAD.030</t>
  </si>
  <si>
    <t>CME-DNV-QUAD.031</t>
  </si>
  <si>
    <t>CME-DNV-QUAD.032</t>
  </si>
  <si>
    <t>CME-DNV-QUAD.033</t>
  </si>
  <si>
    <t>CME-DNV-QUAD.034</t>
  </si>
  <si>
    <t>CME-DNV-QUAD.035</t>
  </si>
  <si>
    <t>CME-DNV-QUAD.036</t>
  </si>
  <si>
    <t>CME-DNV-QUAD.037</t>
  </si>
  <si>
    <t>CME-DNV-QUAD.038</t>
  </si>
  <si>
    <t>CME-SIL-001</t>
  </si>
  <si>
    <t>CME-SIL-002</t>
  </si>
  <si>
    <t>CME-03-25</t>
  </si>
  <si>
    <t>CME-04-25</t>
  </si>
  <si>
    <t>BC-2526483</t>
  </si>
  <si>
    <t>OGSU202500-4</t>
  </si>
  <si>
    <t>OGSU202501-0</t>
  </si>
  <si>
    <t>OGSU202502-5</t>
  </si>
  <si>
    <t>OGSU202503-0</t>
  </si>
  <si>
    <t>OGSU202504-6</t>
  </si>
  <si>
    <t>OGSU202505-1</t>
  </si>
  <si>
    <t>OGSU202507-2</t>
  </si>
  <si>
    <t>OGSU202509-3</t>
  </si>
  <si>
    <t>A BORDO</t>
  </si>
  <si>
    <t>CERTIFICAR SWIRE</t>
  </si>
  <si>
    <t>CERTIFICAR A BORDO - HGM</t>
  </si>
  <si>
    <t>BC-2526478</t>
  </si>
  <si>
    <t>BC-2526480</t>
  </si>
  <si>
    <t>CME-AFTE-PQ-002</t>
  </si>
  <si>
    <t>BC-2526484</t>
  </si>
  <si>
    <t>BC-2526485</t>
  </si>
  <si>
    <t>CME-DNV-022 - (UGN.010)</t>
  </si>
  <si>
    <t>CME-DNV-023 - (UGN.011)</t>
  </si>
  <si>
    <t>CME-AIR-COMP.023</t>
  </si>
  <si>
    <t>CME-AIR-COMP.024</t>
  </si>
  <si>
    <t>OGSU202511-2 (UGN13)</t>
  </si>
  <si>
    <t>200BAR</t>
  </si>
  <si>
    <t>MARICA</t>
  </si>
  <si>
    <t>BC-2526481</t>
  </si>
  <si>
    <t>DIMENSÕES</t>
  </si>
  <si>
    <t>PESO</t>
  </si>
  <si>
    <t>2000 x 2440 x 2500</t>
  </si>
  <si>
    <t>2650 x 1600 x 1600</t>
  </si>
  <si>
    <t>3000 x 2000 x 2400</t>
  </si>
  <si>
    <t>6058 x 2438 x 2590</t>
  </si>
  <si>
    <t>2500 x 2000 x 2500</t>
  </si>
  <si>
    <t>2500 x 1900 x 2000</t>
  </si>
  <si>
    <t>3000 x 2000 x 2370</t>
  </si>
  <si>
    <t>2500 x 1800 x 2150</t>
  </si>
  <si>
    <t>3000 x 2000 x 1850</t>
  </si>
  <si>
    <t>4600 x 2430 x 2900</t>
  </si>
  <si>
    <t>6050 x 2430 x 2590</t>
  </si>
  <si>
    <t>5500 x 2400 x 2500</t>
  </si>
  <si>
    <t>5000 x 2440 x 2650</t>
  </si>
  <si>
    <t>6058 x 2438 x 2896</t>
  </si>
  <si>
    <t>CME-SAAD.001</t>
  </si>
  <si>
    <t>CME-SAAD.002</t>
  </si>
  <si>
    <t>CME-SAAD.003</t>
  </si>
  <si>
    <t>CME-SAAD.004</t>
  </si>
  <si>
    <t>CME-SAAD.005</t>
  </si>
  <si>
    <t>CME-SAAD.006</t>
  </si>
  <si>
    <t>CME-SAAD.007</t>
  </si>
  <si>
    <t>2960 x 1720 x 3260</t>
  </si>
  <si>
    <t>3000 x 2000 x 3140</t>
  </si>
  <si>
    <t>2670 x 2410 x 2800</t>
  </si>
  <si>
    <t>3000 x 2410 x 2950</t>
  </si>
  <si>
    <t>1800 x 1800 x 2190</t>
  </si>
  <si>
    <t>1500 x 1500 x 2190</t>
  </si>
  <si>
    <t>2210 x 2100 x 2190</t>
  </si>
  <si>
    <t>1710 x 1540 x 2100</t>
  </si>
  <si>
    <t>2000 x 2000 x 3660</t>
  </si>
  <si>
    <t>2000 x 2000 x 4500</t>
  </si>
  <si>
    <t>FIXO PARA MOLSIVE</t>
  </si>
  <si>
    <t>2212 x 1852 x 1485</t>
  </si>
  <si>
    <t>3000 x 2000 x 2980</t>
  </si>
  <si>
    <t>4572 x 2438 x 2600</t>
  </si>
  <si>
    <t>3000 x 2000 x 2300</t>
  </si>
  <si>
    <t>1600 x 1020 x 2060</t>
  </si>
  <si>
    <t>CME-01-25</t>
  </si>
  <si>
    <t>CME-02-25</t>
  </si>
  <si>
    <t>BC-2527246</t>
  </si>
  <si>
    <t>BC-2527247</t>
  </si>
  <si>
    <t>LME-2601</t>
  </si>
  <si>
    <t>LME-2602</t>
  </si>
  <si>
    <t>OGSU202506-7 (UGN12)</t>
  </si>
  <si>
    <t>MOLSIEVE DEDICADO</t>
  </si>
  <si>
    <t>SAÍDA 08/12/25 - CONTINENTAL USA</t>
  </si>
  <si>
    <t>HALLIBURTON</t>
  </si>
  <si>
    <t>FPSO VITORIA</t>
  </si>
  <si>
    <t>MV24</t>
  </si>
  <si>
    <t>250500513</t>
  </si>
  <si>
    <t>250500515</t>
  </si>
  <si>
    <t>240108559</t>
  </si>
  <si>
    <t>240108562</t>
  </si>
  <si>
    <t>250500517</t>
  </si>
  <si>
    <t>240108575</t>
  </si>
  <si>
    <t>GUEREN GASES</t>
  </si>
  <si>
    <t>CME-AIR-COMP.025</t>
  </si>
  <si>
    <t>CERTIFICADOS PELA SWIRE - EM MANUTENÇÃO</t>
  </si>
  <si>
    <t>175BAR</t>
  </si>
  <si>
    <t>TRANSOCEAN</t>
  </si>
  <si>
    <t>MV26</t>
  </si>
  <si>
    <t>170BAR</t>
  </si>
  <si>
    <t>LME-2603</t>
  </si>
  <si>
    <t>009</t>
  </si>
  <si>
    <t>SKID VAZIO</t>
  </si>
  <si>
    <t>L7-60199</t>
  </si>
  <si>
    <t>203BAR</t>
  </si>
  <si>
    <t>180BAR</t>
  </si>
  <si>
    <t>CERTIFICADO A BORDO - HGM</t>
  </si>
  <si>
    <t>CERTIFICADO NO ARM-CAXIAS - HGM</t>
  </si>
  <si>
    <t>REFORMA NO TETO - URGENTE</t>
  </si>
  <si>
    <t>BC-2526474</t>
  </si>
  <si>
    <t>GL-84738/65</t>
  </si>
  <si>
    <t>1800 X  800 X  450</t>
  </si>
  <si>
    <t>BEERENBERG</t>
  </si>
  <si>
    <t>185BAR</t>
  </si>
  <si>
    <t>MATERIAL DO CAMPI</t>
  </si>
  <si>
    <t>SAQUAREMA</t>
  </si>
  <si>
    <t>OGSU202508-8 (UGN-15?</t>
  </si>
  <si>
    <t>MV31</t>
  </si>
  <si>
    <t>ARMARIO</t>
  </si>
  <si>
    <t>PRATELEIRA</t>
  </si>
  <si>
    <t>GUIANA</t>
  </si>
  <si>
    <t>OBS</t>
  </si>
  <si>
    <t>INFO ADICIONAL</t>
  </si>
  <si>
    <t>190BAR</t>
  </si>
  <si>
    <t>ESLINGA REPROVADA</t>
  </si>
  <si>
    <t>TETO FURADO</t>
  </si>
  <si>
    <t>CME-NSV.001 (BERÇO)</t>
  </si>
  <si>
    <t>CME</t>
  </si>
  <si>
    <r>
      <t xml:space="preserve">CONTAINER SUBSTITUINDO </t>
    </r>
    <r>
      <rPr>
        <b/>
        <sz val="12"/>
        <color rgb="FFFF0000"/>
        <rFont val="Calibri"/>
        <family val="2"/>
      </rPr>
      <t>DNVU105220-9</t>
    </r>
  </si>
  <si>
    <t>250500514</t>
  </si>
  <si>
    <t>CHEIO DE ESFERA DO MOLSIEVE</t>
  </si>
  <si>
    <t>REPROVADA</t>
  </si>
  <si>
    <t>EM USO NA BASE</t>
  </si>
  <si>
    <t>FPSO VITORIA - AGUARD. SAIDA</t>
  </si>
  <si>
    <t>CERTIFICADO A BORDO - HGM - FAZER REFORMA / PINTURA</t>
  </si>
  <si>
    <t>MANUTENÇÃO???</t>
  </si>
  <si>
    <t>160BAR</t>
  </si>
  <si>
    <t>L120/3 -- 4 CILINDROS</t>
  </si>
  <si>
    <t>L75/100 -- 4 CILINDROS</t>
  </si>
  <si>
    <t>ALM. TAMANDARE</t>
  </si>
  <si>
    <t>OGSU202510-7 - (UGN-14?)</t>
  </si>
  <si>
    <t>SAÍDA 14/04/26 - CONTINENTAL USA</t>
  </si>
  <si>
    <t>CAMPI BLOQUEADO</t>
  </si>
  <si>
    <t>REFORMA E PINTURA</t>
  </si>
  <si>
    <t>SAFETECH - SP</t>
  </si>
  <si>
    <t>BC-2412784</t>
  </si>
  <si>
    <t>PEGAR DO AFTER.006</t>
  </si>
  <si>
    <t>PRATELEIRA***</t>
  </si>
  <si>
    <t>230800290 - REPROVADA</t>
  </si>
  <si>
    <t>VERIF.</t>
  </si>
  <si>
    <t>L7-59880 - REPROVADA</t>
  </si>
  <si>
    <t>SOS12A/00225 - REPROVADA</t>
  </si>
  <si>
    <t>L7-60198</t>
  </si>
  <si>
    <t>S/ ESLINGA</t>
  </si>
  <si>
    <t>BC-26039</t>
  </si>
  <si>
    <t>PEGAR NO PALLET NO FUNDO DO GALPÃO</t>
  </si>
  <si>
    <t>SWIRE PRECISA GERAR CERTIFICADO, ESTÁ DUPLICADO COM O QUAD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</si>
</sst>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0000"/>
    <numFmt numFmtId="166" formatCode="000"/>
    <numFmt numFmtId="167" formatCode="000000"/>
    <numFmt numFmtId="168" formatCode="0.0"/>
  </numFmts>
  <fonts count="26" x14ac:knownFonts="1">
    <font>
      <sz val="11"/>
      <color rgb="FF0000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9"/>
      <color indexed="81"/>
      <name val="Segoe UI"/>
      <family val="2"/>
    </font>
    <font>
      <sz val="8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10"/>
      <color indexed="81"/>
      <name val="Segoe UI"/>
      <family val="2"/>
    </font>
    <font>
      <b/>
      <sz val="12"/>
      <color rgb="FFFF0000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12"/>
      <color rgb="FFE40000"/>
      <name val="Calibri"/>
      <family val="2"/>
    </font>
    <font>
      <b/>
      <sz val="12"/>
      <color rgb="FFED0000"/>
      <name val="Calibri"/>
      <family val="2"/>
    </font>
    <font>
      <sz val="12"/>
      <color rgb="FFED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EE0000"/>
      <name val="Calibri"/>
      <family val="2"/>
    </font>
    <font>
      <b/>
      <sz val="12"/>
      <color rgb="FFEE0000"/>
      <name val="Calibri"/>
      <family val="2"/>
    </font>
    <font>
      <b/>
      <sz val="12"/>
      <color rgb="FFE50000"/>
      <name val="Calibri"/>
      <family val="2"/>
    </font>
    <font>
      <b/>
      <sz val="14"/>
      <name val="Calibri"/>
      <family val="2"/>
    </font>
    <font>
      <sz val="12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64" fontId="11" fillId="2" borderId="1" xfId="0" applyNumberFormat="1" applyFont="1" applyFill="1" applyBorder="1" applyAlignment="1">
      <alignment horizontal="center"/>
    </xf>
    <xf numFmtId="0" fontId="11" fillId="0" borderId="0" xfId="0" applyFont="1"/>
    <xf numFmtId="0" fontId="13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1" fillId="2" borderId="0" xfId="0" applyFont="1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164" fontId="14" fillId="0" borderId="3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166" fontId="16" fillId="2" borderId="1" xfId="0" applyNumberFormat="1" applyFont="1" applyFill="1" applyBorder="1" applyAlignment="1">
      <alignment horizontal="center"/>
    </xf>
    <xf numFmtId="0" fontId="17" fillId="9" borderId="0" xfId="0" applyFont="1" applyFill="1"/>
    <xf numFmtId="0" fontId="13" fillId="10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7" borderId="1" xfId="0" applyFont="1" applyFill="1" applyBorder="1" applyAlignment="1">
      <alignment horizontal="center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13" fillId="0" borderId="0" xfId="0" applyFont="1"/>
    <xf numFmtId="0" fontId="20" fillId="2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165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2" fillId="2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17" fillId="2" borderId="0" xfId="0" applyFont="1" applyFill="1"/>
    <xf numFmtId="0" fontId="18" fillId="0" borderId="0" xfId="0" applyFont="1"/>
    <xf numFmtId="166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0" fontId="13" fillId="2" borderId="0" xfId="0" applyFont="1" applyFill="1"/>
    <xf numFmtId="165" fontId="7" fillId="2" borderId="1" xfId="0" applyNumberFormat="1" applyFont="1" applyFill="1" applyBorder="1" applyAlignment="1">
      <alignment horizontal="center"/>
    </xf>
    <xf numFmtId="164" fontId="16" fillId="2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23" fillId="0" borderId="0" xfId="0" applyFont="1"/>
    <xf numFmtId="0" fontId="6" fillId="0" borderId="1" xfId="0" applyFont="1" applyBorder="1" applyAlignment="1">
      <alignment horizontal="center"/>
    </xf>
    <xf numFmtId="166" fontId="19" fillId="0" borderId="1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3" fillId="5" borderId="1" xfId="0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1" fillId="3" borderId="1" xfId="0" applyFont="1" applyFill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0" fontId="18" fillId="2" borderId="0" xfId="0" applyFont="1" applyFill="1"/>
    <xf numFmtId="0" fontId="6" fillId="6" borderId="0" xfId="0" applyFont="1" applyFill="1"/>
    <xf numFmtId="0" fontId="7" fillId="0" borderId="1" xfId="0" applyFont="1" applyBorder="1"/>
    <xf numFmtId="164" fontId="13" fillId="2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66" fontId="7" fillId="8" borderId="1" xfId="0" applyNumberFormat="1" applyFont="1" applyFill="1" applyBorder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0" fontId="6" fillId="0" borderId="2" xfId="0" applyFont="1" applyBorder="1"/>
    <xf numFmtId="0" fontId="11" fillId="5" borderId="0" xfId="0" applyFont="1" applyFill="1"/>
    <xf numFmtId="164" fontId="6" fillId="0" borderId="1" xfId="0" applyNumberFormat="1" applyFont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15" borderId="1" xfId="0" applyFont="1" applyFill="1" applyBorder="1" applyAlignment="1">
      <alignment horizontal="left"/>
    </xf>
    <xf numFmtId="0" fontId="13" fillId="15" borderId="1" xfId="0" applyFont="1" applyFill="1" applyBorder="1" applyAlignment="1">
      <alignment horizontal="left"/>
    </xf>
    <xf numFmtId="0" fontId="11" fillId="8" borderId="0" xfId="0" applyFont="1" applyFill="1"/>
    <xf numFmtId="0" fontId="13" fillId="16" borderId="1" xfId="0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166" fontId="11" fillId="2" borderId="1" xfId="0" applyNumberFormat="1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24" fillId="0" borderId="0" xfId="0" applyFont="1" applyAlignment="1">
      <alignment vertical="center"/>
    </xf>
    <xf numFmtId="0" fontId="6" fillId="2" borderId="1" xfId="0" applyFont="1" applyFill="1" applyBorder="1" applyAlignment="1">
      <alignment horizontal="left"/>
    </xf>
    <xf numFmtId="0" fontId="13" fillId="17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left"/>
    </xf>
    <xf numFmtId="0" fontId="2" fillId="19" borderId="1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/>
    <xf numFmtId="0" fontId="7" fillId="0" borderId="1" xfId="0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3" fillId="19" borderId="1" xfId="0" applyFont="1" applyFill="1" applyBorder="1" applyAlignment="1">
      <alignment horizontal="center"/>
    </xf>
    <xf numFmtId="0" fontId="7" fillId="2" borderId="0" xfId="0" applyFont="1" applyFill="1"/>
    <xf numFmtId="165" fontId="11" fillId="0" borderId="1" xfId="0" applyNumberFormat="1" applyFont="1" applyBorder="1" applyAlignment="1">
      <alignment horizontal="left"/>
    </xf>
    <xf numFmtId="0" fontId="11" fillId="14" borderId="0" xfId="0" applyFont="1" applyFill="1"/>
    <xf numFmtId="0" fontId="25" fillId="2" borderId="1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4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/>
  <colors>
    <mruColors>
      <color rgb="FFFF0000"/>
      <color rgb="FF0099FF"/>
      <color rgb="FFFFFFCC"/>
      <color rgb="FFF7FC3E"/>
      <color rgb="FFFF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3D3F-2923-4AEF-AAD9-4F9775C1A8C4}">
  <sheetPr codeName="Planilha1">
    <pageSetUpPr fitToPage="1"/>
  </sheetPr>
  <dimension ref="A1:J13"/>
  <sheetViews>
    <sheetView workbookViewId="0">
      <selection activeCell="E9" sqref="E9"/>
    </sheetView>
  </sheetViews>
  <sheetFormatPr defaultColWidth="9.109375" defaultRowHeight="15.6" x14ac:dyDescent="0.3"/>
  <cols>
    <col min="1" max="1" width="24" style="1" customWidth="1"/>
    <col min="2" max="2" width="17" style="6" customWidth="1"/>
    <col min="3" max="3" width="16.88671875" style="6" customWidth="1"/>
    <col min="4" max="4" width="19.6640625" style="6" bestFit="1" customWidth="1"/>
    <col min="5" max="5" width="20.6640625" style="10" customWidth="1"/>
    <col min="6" max="6" width="20.5546875" style="10" customWidth="1"/>
    <col min="7" max="8" width="20.6640625" style="12" customWidth="1"/>
    <col min="9" max="9" width="13.5546875" style="12" customWidth="1"/>
    <col min="10" max="10" width="67.109375" style="2" customWidth="1"/>
    <col min="11" max="16384" width="9.109375" style="2"/>
  </cols>
  <sheetData>
    <row r="1" spans="1:10" s="28" customFormat="1" ht="36" x14ac:dyDescent="0.3">
      <c r="A1" s="26" t="s">
        <v>47</v>
      </c>
      <c r="B1" s="27" t="s">
        <v>114</v>
      </c>
      <c r="C1" s="26" t="s">
        <v>38</v>
      </c>
      <c r="D1" s="27" t="s">
        <v>115</v>
      </c>
      <c r="E1" s="26" t="s">
        <v>46</v>
      </c>
      <c r="F1" s="26" t="s">
        <v>45</v>
      </c>
      <c r="G1" s="26" t="s">
        <v>46</v>
      </c>
      <c r="H1" s="26" t="s">
        <v>307</v>
      </c>
      <c r="I1" s="26" t="s">
        <v>308</v>
      </c>
    </row>
    <row r="2" spans="1:10" x14ac:dyDescent="0.3">
      <c r="A2" s="17" t="s">
        <v>200</v>
      </c>
      <c r="B2" s="23" t="s">
        <v>41</v>
      </c>
      <c r="C2" s="20" t="s">
        <v>40</v>
      </c>
      <c r="D2" s="80" t="s">
        <v>369</v>
      </c>
      <c r="E2" s="19">
        <v>46428</v>
      </c>
      <c r="F2" s="15" t="s">
        <v>126</v>
      </c>
      <c r="G2" s="19">
        <v>46428</v>
      </c>
      <c r="H2" s="19" t="s">
        <v>309</v>
      </c>
      <c r="I2" s="81">
        <v>3000</v>
      </c>
    </row>
    <row r="3" spans="1:10" s="47" customFormat="1" x14ac:dyDescent="0.3">
      <c r="A3" s="17" t="s">
        <v>201</v>
      </c>
      <c r="B3" s="23" t="s">
        <v>42</v>
      </c>
      <c r="C3" s="20" t="s">
        <v>40</v>
      </c>
      <c r="D3" s="80" t="s">
        <v>369</v>
      </c>
      <c r="E3" s="19">
        <v>46539</v>
      </c>
      <c r="F3" s="32" t="s">
        <v>294</v>
      </c>
      <c r="G3" s="19">
        <v>46539</v>
      </c>
      <c r="H3" s="19" t="s">
        <v>309</v>
      </c>
      <c r="I3" s="81">
        <v>3000</v>
      </c>
    </row>
    <row r="4" spans="1:10" x14ac:dyDescent="0.3">
      <c r="A4" s="17" t="s">
        <v>202</v>
      </c>
      <c r="B4" s="23" t="s">
        <v>41</v>
      </c>
      <c r="C4" s="20" t="s">
        <v>40</v>
      </c>
      <c r="D4" s="118" t="s">
        <v>386</v>
      </c>
      <c r="E4" s="19">
        <v>46463</v>
      </c>
      <c r="F4" s="76" t="s">
        <v>380</v>
      </c>
      <c r="G4" s="19">
        <v>46463</v>
      </c>
      <c r="H4" s="19" t="s">
        <v>309</v>
      </c>
      <c r="I4" s="81">
        <v>3000</v>
      </c>
    </row>
    <row r="5" spans="1:10" s="47" customFormat="1" x14ac:dyDescent="0.3">
      <c r="A5" s="17" t="s">
        <v>203</v>
      </c>
      <c r="B5" s="23" t="s">
        <v>41</v>
      </c>
      <c r="C5" s="20" t="s">
        <v>40</v>
      </c>
      <c r="D5" s="80" t="s">
        <v>410</v>
      </c>
      <c r="E5" s="19">
        <v>46539</v>
      </c>
      <c r="F5" s="64" t="s">
        <v>295</v>
      </c>
      <c r="G5" s="19">
        <v>46539</v>
      </c>
      <c r="H5" s="19" t="s">
        <v>309</v>
      </c>
      <c r="I5" s="81">
        <v>3000</v>
      </c>
    </row>
    <row r="6" spans="1:10" s="47" customFormat="1" x14ac:dyDescent="0.3">
      <c r="A6" s="17" t="s">
        <v>204</v>
      </c>
      <c r="B6" s="23" t="s">
        <v>250</v>
      </c>
      <c r="C6" s="20" t="s">
        <v>40</v>
      </c>
      <c r="D6" s="20" t="s">
        <v>40</v>
      </c>
      <c r="E6" s="19">
        <v>46539</v>
      </c>
      <c r="F6" s="121" t="s">
        <v>153</v>
      </c>
      <c r="G6" s="19">
        <v>46539</v>
      </c>
      <c r="H6" s="19" t="s">
        <v>309</v>
      </c>
      <c r="I6" s="81">
        <v>3000</v>
      </c>
    </row>
    <row r="7" spans="1:10" x14ac:dyDescent="0.3">
      <c r="A7" s="17" t="s">
        <v>205</v>
      </c>
      <c r="B7" s="23" t="s">
        <v>250</v>
      </c>
      <c r="C7" s="20" t="s">
        <v>40</v>
      </c>
      <c r="D7" s="20" t="s">
        <v>40</v>
      </c>
      <c r="E7" s="19">
        <v>46428</v>
      </c>
      <c r="F7" s="69"/>
      <c r="G7" s="19"/>
      <c r="H7" s="19" t="s">
        <v>309</v>
      </c>
      <c r="I7" s="81">
        <v>3000</v>
      </c>
      <c r="J7" s="120" t="s">
        <v>426</v>
      </c>
    </row>
    <row r="8" spans="1:10" s="47" customFormat="1" x14ac:dyDescent="0.3">
      <c r="A8" s="17" t="s">
        <v>186</v>
      </c>
      <c r="B8" s="23" t="s">
        <v>41</v>
      </c>
      <c r="C8" s="20" t="s">
        <v>40</v>
      </c>
      <c r="D8" s="109" t="s">
        <v>369</v>
      </c>
      <c r="E8" s="19">
        <v>46539</v>
      </c>
      <c r="F8" s="15" t="s">
        <v>121</v>
      </c>
      <c r="G8" s="19">
        <v>46539</v>
      </c>
      <c r="H8" s="19" t="s">
        <v>309</v>
      </c>
      <c r="I8" s="81">
        <v>3000</v>
      </c>
    </row>
    <row r="9" spans="1:10" x14ac:dyDescent="0.3">
      <c r="A9" s="17" t="s">
        <v>206</v>
      </c>
      <c r="B9" s="23" t="s">
        <v>41</v>
      </c>
      <c r="C9" s="20" t="s">
        <v>40</v>
      </c>
      <c r="D9" s="20" t="s">
        <v>40</v>
      </c>
      <c r="E9" s="19">
        <v>46463</v>
      </c>
      <c r="F9" s="13" t="s">
        <v>208</v>
      </c>
      <c r="G9" s="19">
        <v>46463</v>
      </c>
      <c r="H9" s="19" t="s">
        <v>309</v>
      </c>
      <c r="I9" s="81">
        <v>3000</v>
      </c>
    </row>
    <row r="10" spans="1:10" x14ac:dyDescent="0.3">
      <c r="A10" s="3" t="s">
        <v>199</v>
      </c>
      <c r="B10" s="23" t="s">
        <v>41</v>
      </c>
      <c r="C10" s="40" t="s">
        <v>41</v>
      </c>
      <c r="D10" s="40" t="s">
        <v>44</v>
      </c>
      <c r="E10" s="19">
        <v>46437</v>
      </c>
      <c r="F10" s="64">
        <v>3749</v>
      </c>
      <c r="G10" s="19">
        <v>46437</v>
      </c>
      <c r="H10" s="19" t="s">
        <v>311</v>
      </c>
      <c r="I10" s="81">
        <v>4500</v>
      </c>
      <c r="J10" s="48" t="s">
        <v>293</v>
      </c>
    </row>
    <row r="11" spans="1:10" x14ac:dyDescent="0.3">
      <c r="A11" s="42" t="s">
        <v>296</v>
      </c>
      <c r="B11" s="18" t="s">
        <v>42</v>
      </c>
      <c r="C11" s="88" t="s">
        <v>40</v>
      </c>
      <c r="D11" s="88" t="s">
        <v>40</v>
      </c>
      <c r="E11" s="35">
        <v>46325</v>
      </c>
      <c r="F11" s="75">
        <v>1697</v>
      </c>
      <c r="G11" s="35">
        <v>46325</v>
      </c>
      <c r="H11" s="35" t="s">
        <v>310</v>
      </c>
      <c r="I11" s="82">
        <v>1100</v>
      </c>
    </row>
    <row r="13" spans="1:10" x14ac:dyDescent="0.3">
      <c r="E13" s="77"/>
    </row>
  </sheetData>
  <autoFilter ref="A1:G11" xr:uid="{00000000-0001-0000-0000-000000000000}">
    <sortState xmlns:xlrd2="http://schemas.microsoft.com/office/spreadsheetml/2017/richdata2" ref="A2:G9">
      <sortCondition ref="A2:A9"/>
    </sortState>
  </autoFilter>
  <phoneticPr fontId="5" type="noConversion"/>
  <conditionalFormatting sqref="E2:E10">
    <cfRule type="cellIs" dxfId="40" priority="2" operator="greaterThan">
      <formula>46189</formula>
    </cfRule>
  </conditionalFormatting>
  <conditionalFormatting sqref="E13">
    <cfRule type="cellIs" dxfId="39" priority="3" operator="greaterThan">
      <formula>46189</formula>
    </cfRule>
  </conditionalFormatting>
  <conditionalFormatting sqref="G2:G10">
    <cfRule type="cellIs" dxfId="38" priority="1" operator="greaterThan">
      <formula>46189</formula>
    </cfRule>
  </conditionalFormatting>
  <pageMargins left="0.25" right="0.25" top="0.75" bottom="0.75" header="0.3" footer="0.3"/>
  <pageSetup paperSize="9" scale="8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4D22-8A01-46DE-8408-D957F47362C6}">
  <sheetPr codeName="Planilha2">
    <pageSetUpPr fitToPage="1"/>
  </sheetPr>
  <dimension ref="A1:K11"/>
  <sheetViews>
    <sheetView workbookViewId="0">
      <selection activeCell="G8" sqref="G8"/>
    </sheetView>
  </sheetViews>
  <sheetFormatPr defaultColWidth="9.109375" defaultRowHeight="15.6" x14ac:dyDescent="0.3"/>
  <cols>
    <col min="1" max="1" width="25.88671875" style="1" bestFit="1" customWidth="1"/>
    <col min="2" max="2" width="17.6640625" style="6" bestFit="1" customWidth="1"/>
    <col min="3" max="3" width="16.88671875" style="6" bestFit="1" customWidth="1"/>
    <col min="4" max="4" width="19.6640625" style="6" bestFit="1" customWidth="1"/>
    <col min="5" max="5" width="20.6640625" style="10" customWidth="1"/>
    <col min="6" max="6" width="20.5546875" style="10" customWidth="1"/>
    <col min="7" max="8" width="20.6640625" style="12" customWidth="1"/>
    <col min="9" max="9" width="14" style="12" customWidth="1"/>
    <col min="10" max="10" width="53.44140625" style="2" customWidth="1"/>
    <col min="11" max="11" width="11.88671875" style="2" customWidth="1"/>
    <col min="12" max="16384" width="9.109375" style="2"/>
  </cols>
  <sheetData>
    <row r="1" spans="1:11" s="28" customFormat="1" ht="40.5" customHeight="1" x14ac:dyDescent="0.3">
      <c r="A1" s="26" t="s">
        <v>47</v>
      </c>
      <c r="B1" s="27" t="s">
        <v>114</v>
      </c>
      <c r="C1" s="26" t="s">
        <v>38</v>
      </c>
      <c r="D1" s="27" t="s">
        <v>115</v>
      </c>
      <c r="E1" s="26" t="s">
        <v>46</v>
      </c>
      <c r="F1" s="26" t="s">
        <v>45</v>
      </c>
      <c r="G1" s="26" t="s">
        <v>46</v>
      </c>
      <c r="H1" s="26" t="s">
        <v>307</v>
      </c>
      <c r="I1" s="26" t="s">
        <v>308</v>
      </c>
    </row>
    <row r="2" spans="1:11" s="48" customFormat="1" x14ac:dyDescent="0.3">
      <c r="A2" s="17" t="s">
        <v>56</v>
      </c>
      <c r="B2" s="23" t="s">
        <v>190</v>
      </c>
      <c r="C2" s="20" t="s">
        <v>40</v>
      </c>
      <c r="D2" s="20" t="s">
        <v>40</v>
      </c>
      <c r="E2" s="19">
        <v>46476</v>
      </c>
      <c r="F2" s="15" t="s">
        <v>298</v>
      </c>
      <c r="G2" s="19">
        <v>46476</v>
      </c>
      <c r="H2" s="19" t="s">
        <v>312</v>
      </c>
      <c r="I2" s="81">
        <v>14000</v>
      </c>
      <c r="J2" s="98"/>
    </row>
    <row r="3" spans="1:11" s="48" customFormat="1" x14ac:dyDescent="0.3">
      <c r="A3" s="17" t="s">
        <v>57</v>
      </c>
      <c r="B3" s="23" t="s">
        <v>41</v>
      </c>
      <c r="C3" s="20" t="s">
        <v>40</v>
      </c>
      <c r="D3" s="20" t="s">
        <v>40</v>
      </c>
      <c r="E3" s="19">
        <v>46476</v>
      </c>
      <c r="F3" s="15" t="s">
        <v>297</v>
      </c>
      <c r="G3" s="19">
        <v>46476</v>
      </c>
      <c r="H3" s="19" t="s">
        <v>312</v>
      </c>
      <c r="I3" s="81">
        <v>14000</v>
      </c>
      <c r="J3" s="98"/>
    </row>
    <row r="4" spans="1:11" x14ac:dyDescent="0.3">
      <c r="A4" s="17" t="s">
        <v>58</v>
      </c>
      <c r="B4" s="23" t="s">
        <v>41</v>
      </c>
      <c r="C4" s="115" t="s">
        <v>398</v>
      </c>
      <c r="D4" s="115" t="s">
        <v>391</v>
      </c>
      <c r="E4" s="19">
        <v>46511</v>
      </c>
      <c r="F4" s="15" t="s">
        <v>282</v>
      </c>
      <c r="G4" s="19">
        <v>46511</v>
      </c>
      <c r="H4" s="19" t="s">
        <v>312</v>
      </c>
      <c r="I4" s="81">
        <v>14000</v>
      </c>
      <c r="J4" s="1"/>
      <c r="K4" s="1"/>
    </row>
    <row r="5" spans="1:11" s="48" customFormat="1" x14ac:dyDescent="0.3">
      <c r="A5" s="17" t="s">
        <v>65</v>
      </c>
      <c r="B5" s="23" t="s">
        <v>355</v>
      </c>
      <c r="C5" s="20" t="s">
        <v>40</v>
      </c>
      <c r="D5" s="80" t="s">
        <v>369</v>
      </c>
      <c r="E5" s="19">
        <v>46476</v>
      </c>
      <c r="F5" s="15" t="s">
        <v>185</v>
      </c>
      <c r="G5" s="19">
        <v>46476</v>
      </c>
      <c r="H5" s="19" t="s">
        <v>312</v>
      </c>
      <c r="I5" s="81">
        <v>14000</v>
      </c>
      <c r="J5" s="49"/>
      <c r="K5" s="49"/>
    </row>
    <row r="6" spans="1:11" s="48" customFormat="1" x14ac:dyDescent="0.3">
      <c r="A6" s="17" t="s">
        <v>64</v>
      </c>
      <c r="B6" s="23" t="s">
        <v>41</v>
      </c>
      <c r="C6" s="20" t="s">
        <v>40</v>
      </c>
      <c r="D6" s="118" t="s">
        <v>386</v>
      </c>
      <c r="E6" s="19">
        <v>46476</v>
      </c>
      <c r="F6" s="15" t="s">
        <v>63</v>
      </c>
      <c r="G6" s="19">
        <v>46476</v>
      </c>
      <c r="H6" s="19" t="s">
        <v>312</v>
      </c>
      <c r="I6" s="81">
        <v>14000</v>
      </c>
      <c r="K6" s="22"/>
    </row>
    <row r="7" spans="1:11" s="48" customFormat="1" x14ac:dyDescent="0.3">
      <c r="A7" s="17" t="s">
        <v>188</v>
      </c>
      <c r="B7" s="23" t="s">
        <v>42</v>
      </c>
      <c r="C7" s="20" t="s">
        <v>40</v>
      </c>
      <c r="D7" s="20" t="s">
        <v>40</v>
      </c>
      <c r="E7" s="19">
        <v>46476</v>
      </c>
      <c r="F7" s="15">
        <v>240100967</v>
      </c>
      <c r="G7" s="19">
        <v>46476</v>
      </c>
      <c r="H7" s="19" t="s">
        <v>312</v>
      </c>
      <c r="I7" s="81">
        <v>14000</v>
      </c>
      <c r="K7" s="49"/>
    </row>
    <row r="8" spans="1:11" s="48" customFormat="1" x14ac:dyDescent="0.3">
      <c r="A8" s="17" t="s">
        <v>189</v>
      </c>
      <c r="B8" s="23" t="s">
        <v>250</v>
      </c>
      <c r="C8" s="20" t="s">
        <v>40</v>
      </c>
      <c r="D8" s="80" t="s">
        <v>410</v>
      </c>
      <c r="E8" s="19">
        <v>46477</v>
      </c>
      <c r="F8" s="15">
        <v>240400360</v>
      </c>
      <c r="G8" s="19">
        <v>46477</v>
      </c>
      <c r="H8" s="19" t="s">
        <v>312</v>
      </c>
      <c r="I8" s="81">
        <v>14000</v>
      </c>
    </row>
    <row r="9" spans="1:11" x14ac:dyDescent="0.3">
      <c r="H9" s="83"/>
      <c r="I9" s="84"/>
    </row>
    <row r="10" spans="1:11" x14ac:dyDescent="0.3">
      <c r="H10" s="79"/>
      <c r="I10" s="85"/>
    </row>
    <row r="11" spans="1:11" x14ac:dyDescent="0.3">
      <c r="H11" s="78"/>
      <c r="I11" s="86"/>
    </row>
  </sheetData>
  <autoFilter ref="A1:G8" xr:uid="{00000000-0001-0000-0000-000000000000}">
    <sortState xmlns:xlrd2="http://schemas.microsoft.com/office/spreadsheetml/2017/richdata2" ref="A2:G6">
      <sortCondition ref="A2:A6"/>
    </sortState>
  </autoFilter>
  <phoneticPr fontId="8" type="noConversion"/>
  <conditionalFormatting sqref="E2:E8">
    <cfRule type="cellIs" dxfId="37" priority="3" operator="greaterThan">
      <formula>46189</formula>
    </cfRule>
  </conditionalFormatting>
  <conditionalFormatting sqref="G2:G8">
    <cfRule type="cellIs" dxfId="36" priority="1" operator="greaterThan">
      <formula>46189</formula>
    </cfRule>
  </conditionalFormatting>
  <pageMargins left="0.25" right="0.25" top="0.75" bottom="0.75" header="0.3" footer="0.3"/>
  <pageSetup paperSize="9" scale="8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D16D-5734-4AD2-BBA3-B12A9DAEBD5F}">
  <sheetPr codeName="Planilha3">
    <pageSetUpPr fitToPage="1"/>
  </sheetPr>
  <dimension ref="A1:J12"/>
  <sheetViews>
    <sheetView workbookViewId="0">
      <selection activeCell="B15" sqref="B15"/>
    </sheetView>
  </sheetViews>
  <sheetFormatPr defaultColWidth="9.109375" defaultRowHeight="15.6" x14ac:dyDescent="0.3"/>
  <cols>
    <col min="1" max="1" width="24" style="1" customWidth="1"/>
    <col min="2" max="2" width="16.88671875" style="6" customWidth="1"/>
    <col min="3" max="3" width="14" style="6" customWidth="1"/>
    <col min="4" max="4" width="19.6640625" style="6" bestFit="1" customWidth="1"/>
    <col min="5" max="5" width="20.6640625" style="10" customWidth="1"/>
    <col min="6" max="6" width="20.5546875" style="10" customWidth="1"/>
    <col min="7" max="7" width="20.6640625" style="12" customWidth="1"/>
    <col min="8" max="8" width="21" style="2" customWidth="1"/>
    <col min="9" max="9" width="11.5546875" style="2" customWidth="1"/>
    <col min="10" max="10" width="25.44140625" style="2" customWidth="1"/>
    <col min="11" max="16384" width="9.109375" style="2"/>
  </cols>
  <sheetData>
    <row r="1" spans="1:10" s="28" customFormat="1" ht="36" x14ac:dyDescent="0.3">
      <c r="A1" s="26" t="s">
        <v>47</v>
      </c>
      <c r="B1" s="27" t="s">
        <v>114</v>
      </c>
      <c r="C1" s="26" t="s">
        <v>38</v>
      </c>
      <c r="D1" s="27" t="s">
        <v>115</v>
      </c>
      <c r="E1" s="26" t="s">
        <v>46</v>
      </c>
      <c r="F1" s="26" t="s">
        <v>45</v>
      </c>
      <c r="G1" s="26" t="s">
        <v>46</v>
      </c>
      <c r="H1" s="26" t="s">
        <v>307</v>
      </c>
      <c r="I1" s="26" t="s">
        <v>308</v>
      </c>
    </row>
    <row r="2" spans="1:10" x14ac:dyDescent="0.3">
      <c r="A2" s="41" t="s">
        <v>238</v>
      </c>
      <c r="B2" s="5" t="s">
        <v>41</v>
      </c>
      <c r="C2" s="7" t="s">
        <v>40</v>
      </c>
      <c r="D2" s="7" t="s">
        <v>40</v>
      </c>
      <c r="E2" s="44">
        <v>45982</v>
      </c>
      <c r="F2" s="38" t="s">
        <v>62</v>
      </c>
      <c r="G2" s="38" t="s">
        <v>62</v>
      </c>
      <c r="H2" s="19" t="s">
        <v>313</v>
      </c>
      <c r="I2" s="81">
        <v>2000</v>
      </c>
    </row>
    <row r="3" spans="1:10" x14ac:dyDescent="0.3">
      <c r="A3" s="42" t="s">
        <v>239</v>
      </c>
      <c r="B3" s="5" t="s">
        <v>152</v>
      </c>
      <c r="C3" s="7" t="s">
        <v>40</v>
      </c>
      <c r="D3" s="7" t="s">
        <v>40</v>
      </c>
      <c r="E3" s="35">
        <v>45850</v>
      </c>
      <c r="F3" s="38" t="s">
        <v>62</v>
      </c>
      <c r="G3" s="38" t="s">
        <v>62</v>
      </c>
      <c r="H3" s="19" t="s">
        <v>314</v>
      </c>
      <c r="I3" s="81">
        <v>4500</v>
      </c>
    </row>
    <row r="4" spans="1:10" x14ac:dyDescent="0.3">
      <c r="A4" s="42" t="s">
        <v>240</v>
      </c>
      <c r="B4" s="5" t="s">
        <v>41</v>
      </c>
      <c r="C4" s="7" t="s">
        <v>40</v>
      </c>
      <c r="D4" s="7" t="s">
        <v>40</v>
      </c>
      <c r="E4" s="35">
        <v>45850</v>
      </c>
      <c r="F4" s="38" t="s">
        <v>62</v>
      </c>
      <c r="G4" s="38" t="s">
        <v>62</v>
      </c>
      <c r="H4" s="19" t="s">
        <v>313</v>
      </c>
      <c r="I4" s="81">
        <v>4500</v>
      </c>
    </row>
    <row r="5" spans="1:10" s="47" customFormat="1" x14ac:dyDescent="0.3">
      <c r="A5" s="17" t="s">
        <v>241</v>
      </c>
      <c r="B5" s="23" t="s">
        <v>41</v>
      </c>
      <c r="C5" s="20" t="s">
        <v>40</v>
      </c>
      <c r="D5" s="124" t="s">
        <v>386</v>
      </c>
      <c r="E5" s="19">
        <v>46539</v>
      </c>
      <c r="F5" s="64" t="s">
        <v>425</v>
      </c>
      <c r="G5" s="19">
        <v>46428</v>
      </c>
      <c r="H5" s="19" t="s">
        <v>317</v>
      </c>
      <c r="I5" s="81">
        <v>4500</v>
      </c>
      <c r="J5" s="125" t="s">
        <v>417</v>
      </c>
    </row>
    <row r="6" spans="1:10" x14ac:dyDescent="0.3">
      <c r="A6" s="17" t="s">
        <v>242</v>
      </c>
      <c r="B6" s="23" t="s">
        <v>41</v>
      </c>
      <c r="C6" s="20" t="s">
        <v>40</v>
      </c>
      <c r="D6" s="20" t="s">
        <v>40</v>
      </c>
      <c r="E6" s="19">
        <v>46428</v>
      </c>
      <c r="F6" s="15" t="s">
        <v>53</v>
      </c>
      <c r="G6" s="19">
        <v>46428</v>
      </c>
      <c r="H6" s="19" t="s">
        <v>315</v>
      </c>
      <c r="I6" s="81">
        <v>4500</v>
      </c>
    </row>
    <row r="7" spans="1:10" x14ac:dyDescent="0.3">
      <c r="A7" s="17" t="s">
        <v>182</v>
      </c>
      <c r="B7" s="23" t="s">
        <v>43</v>
      </c>
      <c r="C7" s="20" t="s">
        <v>40</v>
      </c>
      <c r="D7" s="20" t="s">
        <v>40</v>
      </c>
      <c r="E7" s="93">
        <v>44365</v>
      </c>
      <c r="F7" s="23" t="s">
        <v>62</v>
      </c>
      <c r="G7" s="19"/>
      <c r="H7" s="19" t="s">
        <v>315</v>
      </c>
      <c r="I7" s="81">
        <v>4500</v>
      </c>
    </row>
    <row r="8" spans="1:10" x14ac:dyDescent="0.3">
      <c r="A8" s="17" t="s">
        <v>183</v>
      </c>
      <c r="B8" s="23" t="s">
        <v>43</v>
      </c>
      <c r="C8" s="23" t="s">
        <v>49</v>
      </c>
      <c r="D8" s="23" t="s">
        <v>49</v>
      </c>
      <c r="E8" s="93">
        <v>45203</v>
      </c>
      <c r="F8" s="23" t="s">
        <v>62</v>
      </c>
      <c r="G8" s="19"/>
      <c r="H8" s="19" t="s">
        <v>316</v>
      </c>
      <c r="I8" s="81">
        <v>2200</v>
      </c>
    </row>
    <row r="9" spans="1:10" s="48" customFormat="1" x14ac:dyDescent="0.3">
      <c r="A9" s="17" t="s">
        <v>243</v>
      </c>
      <c r="B9" s="23" t="s">
        <v>41</v>
      </c>
      <c r="C9" s="40" t="s">
        <v>41</v>
      </c>
      <c r="D9" s="40" t="s">
        <v>305</v>
      </c>
      <c r="E9" s="19">
        <v>46428</v>
      </c>
      <c r="F9" s="32" t="s">
        <v>372</v>
      </c>
      <c r="G9" s="19">
        <v>46428</v>
      </c>
      <c r="H9" s="19" t="s">
        <v>317</v>
      </c>
      <c r="I9" s="81">
        <v>4500</v>
      </c>
    </row>
    <row r="10" spans="1:10" s="48" customFormat="1" x14ac:dyDescent="0.3">
      <c r="A10" s="17" t="s">
        <v>244</v>
      </c>
      <c r="B10" s="23" t="s">
        <v>41</v>
      </c>
      <c r="C10" s="20" t="s">
        <v>40</v>
      </c>
      <c r="D10" s="30" t="s">
        <v>193</v>
      </c>
      <c r="E10" s="19">
        <v>46428</v>
      </c>
      <c r="F10" s="15" t="s">
        <v>120</v>
      </c>
      <c r="G10" s="19">
        <v>46428</v>
      </c>
      <c r="H10" s="19" t="s">
        <v>315</v>
      </c>
      <c r="I10" s="81">
        <v>4500</v>
      </c>
    </row>
    <row r="11" spans="1:10" s="48" customFormat="1" x14ac:dyDescent="0.3">
      <c r="A11" s="42" t="s">
        <v>192</v>
      </c>
      <c r="B11" s="18" t="s">
        <v>41</v>
      </c>
      <c r="C11" s="111" t="s">
        <v>42</v>
      </c>
      <c r="D11" s="111" t="s">
        <v>357</v>
      </c>
      <c r="E11" s="35">
        <v>46228</v>
      </c>
      <c r="F11" s="75">
        <v>1608</v>
      </c>
      <c r="G11" s="35">
        <v>46228</v>
      </c>
      <c r="H11" s="35" t="s">
        <v>317</v>
      </c>
      <c r="I11" s="82">
        <v>4500</v>
      </c>
    </row>
    <row r="12" spans="1:10" s="48" customFormat="1" x14ac:dyDescent="0.3">
      <c r="A12" s="17" t="s">
        <v>245</v>
      </c>
      <c r="B12" s="23" t="s">
        <v>125</v>
      </c>
      <c r="C12" s="20" t="s">
        <v>40</v>
      </c>
      <c r="D12" s="80" t="s">
        <v>209</v>
      </c>
      <c r="E12" s="19">
        <v>46428</v>
      </c>
      <c r="F12" s="64" t="s">
        <v>236</v>
      </c>
      <c r="G12" s="19">
        <v>46428</v>
      </c>
      <c r="H12" s="19" t="s">
        <v>315</v>
      </c>
      <c r="I12" s="81">
        <v>4500</v>
      </c>
    </row>
  </sheetData>
  <autoFilter ref="A1:G12" xr:uid="{00000000-0001-0000-0000-000000000000}">
    <sortState xmlns:xlrd2="http://schemas.microsoft.com/office/spreadsheetml/2017/richdata2" ref="A2:G7">
      <sortCondition ref="A2:A7"/>
    </sortState>
  </autoFilter>
  <phoneticPr fontId="5" type="noConversion"/>
  <conditionalFormatting sqref="E5:E6">
    <cfRule type="cellIs" dxfId="35" priority="1" operator="greaterThan">
      <formula>46189</formula>
    </cfRule>
  </conditionalFormatting>
  <conditionalFormatting sqref="E9:E10 G9:G10">
    <cfRule type="cellIs" dxfId="34" priority="2" operator="greaterThan">
      <formula>46189</formula>
    </cfRule>
  </conditionalFormatting>
  <conditionalFormatting sqref="E12 G12">
    <cfRule type="cellIs" dxfId="33" priority="3" operator="greaterThan">
      <formula>46189</formula>
    </cfRule>
  </conditionalFormatting>
  <conditionalFormatting sqref="G5:G6">
    <cfRule type="cellIs" dxfId="32" priority="4" operator="greaterThan">
      <formula>46189</formula>
    </cfRule>
  </conditionalFormatting>
  <pageMargins left="0.25" right="0.25" top="0.75" bottom="0.75" header="0.3" footer="0.3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DC2B-DCDA-44AB-BE40-288739F05FC2}">
  <sheetPr codeName="Planilha4">
    <pageSetUpPr fitToPage="1"/>
  </sheetPr>
  <dimension ref="A1:I12"/>
  <sheetViews>
    <sheetView workbookViewId="0">
      <selection activeCell="E19" sqref="E19"/>
    </sheetView>
  </sheetViews>
  <sheetFormatPr defaultColWidth="9.109375" defaultRowHeight="15.6" x14ac:dyDescent="0.3"/>
  <cols>
    <col min="1" max="1" width="24" style="1" customWidth="1"/>
    <col min="2" max="2" width="17.6640625" style="6" bestFit="1" customWidth="1"/>
    <col min="3" max="3" width="14" style="6" bestFit="1" customWidth="1"/>
    <col min="4" max="4" width="15.109375" style="6" customWidth="1"/>
    <col min="5" max="5" width="20.6640625" style="10" customWidth="1"/>
    <col min="6" max="6" width="20.5546875" style="10" customWidth="1"/>
    <col min="7" max="7" width="20.6640625" style="12" customWidth="1"/>
    <col min="8" max="8" width="22.88671875" style="2" customWidth="1"/>
    <col min="9" max="9" width="14.88671875" style="2" customWidth="1"/>
    <col min="10" max="16384" width="9.109375" style="2"/>
  </cols>
  <sheetData>
    <row r="1" spans="1:9" s="28" customFormat="1" ht="36" x14ac:dyDescent="0.3">
      <c r="A1" s="26" t="s">
        <v>47</v>
      </c>
      <c r="B1" s="27" t="s">
        <v>114</v>
      </c>
      <c r="C1" s="26" t="s">
        <v>38</v>
      </c>
      <c r="D1" s="27" t="s">
        <v>115</v>
      </c>
      <c r="E1" s="26" t="s">
        <v>46</v>
      </c>
      <c r="F1" s="26" t="s">
        <v>45</v>
      </c>
      <c r="G1" s="26" t="s">
        <v>46</v>
      </c>
      <c r="H1" s="26" t="s">
        <v>307</v>
      </c>
      <c r="I1" s="26" t="s">
        <v>308</v>
      </c>
    </row>
    <row r="2" spans="1:9" x14ac:dyDescent="0.3">
      <c r="A2" s="17" t="s">
        <v>195</v>
      </c>
      <c r="B2" s="23" t="s">
        <v>42</v>
      </c>
      <c r="C2" s="20" t="s">
        <v>40</v>
      </c>
      <c r="D2" s="80" t="s">
        <v>369</v>
      </c>
      <c r="E2" s="19">
        <v>46428</v>
      </c>
      <c r="F2" s="15">
        <v>220406114</v>
      </c>
      <c r="G2" s="19">
        <v>46428</v>
      </c>
      <c r="H2" s="19" t="s">
        <v>318</v>
      </c>
      <c r="I2" s="81">
        <v>10000</v>
      </c>
    </row>
    <row r="3" spans="1:9" x14ac:dyDescent="0.3">
      <c r="A3" s="17" t="s">
        <v>196</v>
      </c>
      <c r="B3" s="23" t="s">
        <v>41</v>
      </c>
      <c r="C3" s="20" t="s">
        <v>40</v>
      </c>
      <c r="D3" s="118" t="s">
        <v>386</v>
      </c>
      <c r="E3" s="19">
        <v>46428</v>
      </c>
      <c r="F3" s="13" t="s">
        <v>215</v>
      </c>
      <c r="G3" s="19">
        <v>46428</v>
      </c>
      <c r="H3" s="19" t="s">
        <v>319</v>
      </c>
      <c r="I3" s="81">
        <v>14000</v>
      </c>
    </row>
    <row r="4" spans="1:9" x14ac:dyDescent="0.3">
      <c r="A4" s="17" t="s">
        <v>197</v>
      </c>
      <c r="B4" s="23" t="s">
        <v>42</v>
      </c>
      <c r="C4" s="20" t="s">
        <v>40</v>
      </c>
      <c r="D4" s="20" t="s">
        <v>40</v>
      </c>
      <c r="E4" s="19">
        <v>46428</v>
      </c>
      <c r="F4" s="13">
        <v>1110311</v>
      </c>
      <c r="G4" s="19">
        <v>46428</v>
      </c>
      <c r="H4" s="19" t="s">
        <v>320</v>
      </c>
      <c r="I4" s="81">
        <v>13000</v>
      </c>
    </row>
    <row r="5" spans="1:9" x14ac:dyDescent="0.3">
      <c r="H5" s="83"/>
      <c r="I5" s="84"/>
    </row>
    <row r="6" spans="1:9" x14ac:dyDescent="0.3">
      <c r="F6" s="12"/>
      <c r="H6" s="77"/>
      <c r="I6" s="87"/>
    </row>
    <row r="7" spans="1:9" x14ac:dyDescent="0.3">
      <c r="H7" s="77"/>
      <c r="I7" s="87"/>
    </row>
    <row r="8" spans="1:9" x14ac:dyDescent="0.3">
      <c r="H8" s="77"/>
      <c r="I8" s="87"/>
    </row>
    <row r="9" spans="1:9" x14ac:dyDescent="0.3">
      <c r="H9" s="77"/>
      <c r="I9" s="87"/>
    </row>
    <row r="10" spans="1:9" x14ac:dyDescent="0.3">
      <c r="H10" s="77"/>
      <c r="I10" s="87"/>
    </row>
    <row r="11" spans="1:9" x14ac:dyDescent="0.3">
      <c r="H11" s="77"/>
      <c r="I11" s="87"/>
    </row>
    <row r="12" spans="1:9" x14ac:dyDescent="0.3">
      <c r="H12" s="77"/>
      <c r="I12" s="87"/>
    </row>
  </sheetData>
  <autoFilter ref="A1:G4" xr:uid="{00000000-0001-0000-0000-000000000000}">
    <sortState xmlns:xlrd2="http://schemas.microsoft.com/office/spreadsheetml/2017/richdata2" ref="A2:G3">
      <sortCondition ref="A2:A3"/>
    </sortState>
  </autoFilter>
  <phoneticPr fontId="5" type="noConversion"/>
  <conditionalFormatting sqref="E2:E4 G2:G4">
    <cfRule type="cellIs" dxfId="31" priority="1" operator="greaterThan">
      <formula>46189</formula>
    </cfRule>
  </conditionalFormatting>
  <pageMargins left="0.25" right="0.25" top="0.75" bottom="0.75" header="0.3" footer="0.3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5D89-2D9D-4C97-8A84-8E306D603C1C}">
  <sheetPr codeName="Planilha5"/>
  <dimension ref="A1:I51"/>
  <sheetViews>
    <sheetView topLeftCell="A35" zoomScaleNormal="100" zoomScaleSheetLayoutView="90" workbookViewId="0">
      <selection activeCell="G51" sqref="G51"/>
    </sheetView>
  </sheetViews>
  <sheetFormatPr defaultColWidth="9.109375" defaultRowHeight="15.6" x14ac:dyDescent="0.3"/>
  <cols>
    <col min="1" max="1" width="24.44140625" style="1" customWidth="1"/>
    <col min="2" max="2" width="25.33203125" style="1" bestFit="1" customWidth="1"/>
    <col min="3" max="3" width="17" style="6" customWidth="1"/>
    <col min="4" max="4" width="16.88671875" style="6" customWidth="1"/>
    <col min="5" max="5" width="19.6640625" style="6" customWidth="1"/>
    <col min="6" max="6" width="20.6640625" style="10" customWidth="1"/>
    <col min="7" max="7" width="20.5546875" style="10" customWidth="1"/>
    <col min="8" max="8" width="18.109375" style="12" customWidth="1"/>
    <col min="9" max="9" width="67.33203125" style="22" customWidth="1"/>
    <col min="10" max="10" width="15.109375" style="2" customWidth="1"/>
    <col min="11" max="16384" width="9.109375" style="2"/>
  </cols>
  <sheetData>
    <row r="1" spans="1:9" s="28" customFormat="1" ht="36" x14ac:dyDescent="0.3">
      <c r="A1" s="26" t="s">
        <v>48</v>
      </c>
      <c r="B1" s="26" t="s">
        <v>393</v>
      </c>
      <c r="C1" s="27" t="s">
        <v>114</v>
      </c>
      <c r="D1" s="26" t="s">
        <v>38</v>
      </c>
      <c r="E1" s="27" t="s">
        <v>115</v>
      </c>
      <c r="F1" s="26" t="s">
        <v>46</v>
      </c>
      <c r="G1" s="26" t="s">
        <v>45</v>
      </c>
      <c r="H1" s="26" t="s">
        <v>46</v>
      </c>
      <c r="I1" s="113" t="s">
        <v>392</v>
      </c>
    </row>
    <row r="2" spans="1:9" s="63" customFormat="1" x14ac:dyDescent="0.3">
      <c r="A2" s="103" t="s">
        <v>134</v>
      </c>
      <c r="B2" s="103"/>
      <c r="C2" s="23" t="s">
        <v>42</v>
      </c>
      <c r="D2" s="20" t="s">
        <v>40</v>
      </c>
      <c r="E2" s="20" t="s">
        <v>40</v>
      </c>
      <c r="F2" s="19">
        <v>46510</v>
      </c>
      <c r="G2" s="70" t="s">
        <v>420</v>
      </c>
      <c r="H2" s="65">
        <v>46280</v>
      </c>
      <c r="I2" s="63" t="s">
        <v>395</v>
      </c>
    </row>
    <row r="3" spans="1:9" s="63" customFormat="1" x14ac:dyDescent="0.3">
      <c r="A3" s="103" t="s">
        <v>135</v>
      </c>
      <c r="B3" s="103"/>
      <c r="C3" s="23" t="s">
        <v>41</v>
      </c>
      <c r="D3" s="52" t="s">
        <v>40</v>
      </c>
      <c r="E3" s="52" t="s">
        <v>40</v>
      </c>
      <c r="F3" s="19">
        <v>46510</v>
      </c>
      <c r="G3" s="70" t="s">
        <v>420</v>
      </c>
      <c r="H3" s="65">
        <v>46280</v>
      </c>
      <c r="I3" s="63" t="s">
        <v>395</v>
      </c>
    </row>
    <row r="4" spans="1:9" s="63" customFormat="1" x14ac:dyDescent="0.3">
      <c r="A4" s="17" t="s">
        <v>136</v>
      </c>
      <c r="B4" s="17"/>
      <c r="C4" s="23" t="s">
        <v>41</v>
      </c>
      <c r="D4" s="52" t="s">
        <v>40</v>
      </c>
      <c r="E4" s="124" t="s">
        <v>386</v>
      </c>
      <c r="F4" s="19">
        <v>46510</v>
      </c>
      <c r="G4" s="34" t="s">
        <v>84</v>
      </c>
      <c r="H4" s="19">
        <v>46540</v>
      </c>
    </row>
    <row r="5" spans="1:9" x14ac:dyDescent="0.3">
      <c r="A5" s="17" t="s">
        <v>137</v>
      </c>
      <c r="B5" s="17"/>
      <c r="C5" s="23" t="s">
        <v>42</v>
      </c>
      <c r="D5" s="52" t="s">
        <v>40</v>
      </c>
      <c r="E5" s="52" t="s">
        <v>40</v>
      </c>
      <c r="F5" s="19">
        <v>46429</v>
      </c>
      <c r="G5" s="53">
        <v>230800288</v>
      </c>
      <c r="H5" s="19">
        <v>46429</v>
      </c>
    </row>
    <row r="6" spans="1:9" s="47" customFormat="1" x14ac:dyDescent="0.3">
      <c r="A6" s="17" t="s">
        <v>138</v>
      </c>
      <c r="B6" s="17"/>
      <c r="C6" s="23" t="s">
        <v>125</v>
      </c>
      <c r="D6" s="20" t="s">
        <v>40</v>
      </c>
      <c r="E6" s="80" t="s">
        <v>369</v>
      </c>
      <c r="F6" s="19">
        <v>46540</v>
      </c>
      <c r="G6" s="34">
        <v>230800289</v>
      </c>
      <c r="H6" s="19">
        <v>46540</v>
      </c>
    </row>
    <row r="7" spans="1:9" s="47" customFormat="1" x14ac:dyDescent="0.3">
      <c r="A7" s="17" t="s">
        <v>139</v>
      </c>
      <c r="B7" s="105" t="s">
        <v>418</v>
      </c>
      <c r="C7" s="23" t="s">
        <v>42</v>
      </c>
      <c r="D7" s="20" t="s">
        <v>40</v>
      </c>
      <c r="E7" s="80" t="s">
        <v>193</v>
      </c>
      <c r="F7" s="19">
        <v>46540</v>
      </c>
      <c r="G7" s="53">
        <v>250300264</v>
      </c>
      <c r="H7" s="19">
        <v>46540</v>
      </c>
      <c r="I7" s="126" t="s">
        <v>419</v>
      </c>
    </row>
    <row r="8" spans="1:9" s="63" customFormat="1" x14ac:dyDescent="0.3">
      <c r="A8" s="17" t="s">
        <v>140</v>
      </c>
      <c r="B8" s="17"/>
      <c r="C8" s="51" t="s">
        <v>42</v>
      </c>
      <c r="D8" s="20" t="s">
        <v>40</v>
      </c>
      <c r="E8" s="109" t="s">
        <v>369</v>
      </c>
      <c r="F8" s="19">
        <v>46510</v>
      </c>
      <c r="G8" s="34">
        <v>230800291</v>
      </c>
      <c r="H8" s="19">
        <v>46510</v>
      </c>
    </row>
    <row r="9" spans="1:9" s="63" customFormat="1" x14ac:dyDescent="0.3">
      <c r="A9" s="17" t="s">
        <v>141</v>
      </c>
      <c r="B9" s="17"/>
      <c r="C9" s="23" t="s">
        <v>41</v>
      </c>
      <c r="D9" s="20" t="s">
        <v>40</v>
      </c>
      <c r="E9" s="80" t="s">
        <v>369</v>
      </c>
      <c r="F9" s="19">
        <v>46510</v>
      </c>
      <c r="G9" s="34">
        <v>230800292</v>
      </c>
      <c r="H9" s="19">
        <v>46510</v>
      </c>
    </row>
    <row r="10" spans="1:9" x14ac:dyDescent="0.3">
      <c r="A10" s="105" t="s">
        <v>142</v>
      </c>
      <c r="B10" s="105" t="s">
        <v>390</v>
      </c>
      <c r="C10" s="23" t="s">
        <v>41</v>
      </c>
      <c r="D10" s="43" t="s">
        <v>42</v>
      </c>
      <c r="E10" s="40" t="s">
        <v>357</v>
      </c>
      <c r="F10" s="19">
        <v>46429</v>
      </c>
      <c r="G10" s="34">
        <v>230800293</v>
      </c>
      <c r="H10" s="19">
        <v>46429</v>
      </c>
      <c r="I10" s="48"/>
    </row>
    <row r="11" spans="1:9" s="63" customFormat="1" x14ac:dyDescent="0.3">
      <c r="A11" s="17" t="s">
        <v>143</v>
      </c>
      <c r="B11" s="17"/>
      <c r="C11" s="23" t="s">
        <v>41</v>
      </c>
      <c r="D11" s="20" t="s">
        <v>40</v>
      </c>
      <c r="E11" s="80" t="s">
        <v>369</v>
      </c>
      <c r="F11" s="19">
        <v>46510</v>
      </c>
      <c r="G11" s="34">
        <v>230800285</v>
      </c>
      <c r="H11" s="19">
        <v>46510</v>
      </c>
    </row>
    <row r="12" spans="1:9" s="48" customFormat="1" x14ac:dyDescent="0.3">
      <c r="A12" s="17" t="s">
        <v>144</v>
      </c>
      <c r="B12" s="17"/>
      <c r="C12" s="23" t="s">
        <v>41</v>
      </c>
      <c r="D12" s="20" t="s">
        <v>40</v>
      </c>
      <c r="E12" s="30" t="s">
        <v>193</v>
      </c>
      <c r="F12" s="19">
        <v>46477</v>
      </c>
      <c r="G12" s="34">
        <v>230800295</v>
      </c>
      <c r="H12" s="19">
        <v>46477</v>
      </c>
    </row>
    <row r="13" spans="1:9" s="63" customFormat="1" x14ac:dyDescent="0.3">
      <c r="A13" s="17" t="s">
        <v>145</v>
      </c>
      <c r="B13" s="17"/>
      <c r="C13" s="23" t="s">
        <v>41</v>
      </c>
      <c r="D13" s="20" t="s">
        <v>40</v>
      </c>
      <c r="E13" s="20" t="s">
        <v>40</v>
      </c>
      <c r="F13" s="19">
        <v>46510</v>
      </c>
      <c r="G13" s="34">
        <v>230800296</v>
      </c>
      <c r="H13" s="19">
        <v>46510</v>
      </c>
      <c r="I13" s="63" t="s">
        <v>401</v>
      </c>
    </row>
    <row r="14" spans="1:9" s="47" customFormat="1" x14ac:dyDescent="0.3">
      <c r="A14" s="17" t="s">
        <v>146</v>
      </c>
      <c r="B14" s="17"/>
      <c r="C14" s="23" t="s">
        <v>125</v>
      </c>
      <c r="D14" s="20" t="s">
        <v>40</v>
      </c>
      <c r="E14" s="20" t="s">
        <v>40</v>
      </c>
      <c r="F14" s="19">
        <v>46540</v>
      </c>
      <c r="G14" s="34">
        <v>230800297</v>
      </c>
      <c r="H14" s="19">
        <v>46540</v>
      </c>
    </row>
    <row r="15" spans="1:9" s="63" customFormat="1" x14ac:dyDescent="0.3">
      <c r="A15" s="17" t="s">
        <v>147</v>
      </c>
      <c r="B15" s="17"/>
      <c r="C15" s="23" t="s">
        <v>41</v>
      </c>
      <c r="D15" s="88" t="s">
        <v>40</v>
      </c>
      <c r="E15" s="80" t="s">
        <v>410</v>
      </c>
      <c r="F15" s="19">
        <v>46510</v>
      </c>
      <c r="G15" s="34">
        <v>230800298</v>
      </c>
      <c r="H15" s="19">
        <v>46510</v>
      </c>
    </row>
    <row r="16" spans="1:9" x14ac:dyDescent="0.3">
      <c r="A16" s="103" t="s">
        <v>148</v>
      </c>
      <c r="B16" s="103"/>
      <c r="C16" s="23" t="s">
        <v>41</v>
      </c>
      <c r="D16" s="20" t="s">
        <v>40</v>
      </c>
      <c r="E16" s="20" t="s">
        <v>40</v>
      </c>
      <c r="F16" s="19">
        <v>46510</v>
      </c>
      <c r="G16" s="108">
        <v>230800299</v>
      </c>
      <c r="H16" s="65">
        <v>46280</v>
      </c>
      <c r="I16" s="48" t="s">
        <v>395</v>
      </c>
    </row>
    <row r="17" spans="1:9" x14ac:dyDescent="0.3">
      <c r="A17" s="103" t="s">
        <v>149</v>
      </c>
      <c r="B17" s="103"/>
      <c r="C17" s="23" t="s">
        <v>41</v>
      </c>
      <c r="D17" s="20" t="s">
        <v>40</v>
      </c>
      <c r="E17" s="20" t="s">
        <v>40</v>
      </c>
      <c r="F17" s="19">
        <v>46510</v>
      </c>
      <c r="G17" s="108">
        <v>230800300</v>
      </c>
      <c r="H17" s="65">
        <v>46280</v>
      </c>
      <c r="I17" s="48" t="s">
        <v>395</v>
      </c>
    </row>
    <row r="18" spans="1:9" s="48" customFormat="1" x14ac:dyDescent="0.3">
      <c r="A18" s="17" t="s">
        <v>14</v>
      </c>
      <c r="B18" s="17"/>
      <c r="C18" s="23" t="s">
        <v>41</v>
      </c>
      <c r="D18" s="20" t="s">
        <v>40</v>
      </c>
      <c r="E18" s="20" t="s">
        <v>40</v>
      </c>
      <c r="F18" s="19">
        <v>46429</v>
      </c>
      <c r="G18" s="54" t="s">
        <v>112</v>
      </c>
      <c r="H18" s="19">
        <v>46429</v>
      </c>
      <c r="I18" s="22"/>
    </row>
    <row r="19" spans="1:9" s="47" customFormat="1" x14ac:dyDescent="0.3">
      <c r="A19" s="105" t="s">
        <v>27</v>
      </c>
      <c r="B19" s="105" t="s">
        <v>389</v>
      </c>
      <c r="C19" s="23" t="s">
        <v>42</v>
      </c>
      <c r="D19" s="20" t="s">
        <v>40</v>
      </c>
      <c r="E19" s="124" t="s">
        <v>386</v>
      </c>
      <c r="F19" s="19">
        <v>46540</v>
      </c>
      <c r="G19" s="129">
        <v>250300262</v>
      </c>
      <c r="H19" s="19">
        <v>46540</v>
      </c>
      <c r="I19" s="22" t="s">
        <v>421</v>
      </c>
    </row>
    <row r="20" spans="1:9" x14ac:dyDescent="0.3">
      <c r="A20" s="105" t="s">
        <v>25</v>
      </c>
      <c r="B20" s="105" t="s">
        <v>389</v>
      </c>
      <c r="C20" s="51" t="s">
        <v>210</v>
      </c>
      <c r="D20" s="52" t="s">
        <v>40</v>
      </c>
      <c r="E20" s="80" t="s">
        <v>369</v>
      </c>
      <c r="F20" s="19">
        <v>46429</v>
      </c>
      <c r="G20" s="15" t="s">
        <v>50</v>
      </c>
      <c r="H20" s="19">
        <v>46429</v>
      </c>
      <c r="I20" s="48"/>
    </row>
    <row r="21" spans="1:9" x14ac:dyDescent="0.3">
      <c r="A21" s="17" t="s">
        <v>28</v>
      </c>
      <c r="B21" s="17"/>
      <c r="C21" s="23" t="s">
        <v>41</v>
      </c>
      <c r="D21" s="55" t="s">
        <v>41</v>
      </c>
      <c r="E21" s="55" t="s">
        <v>44</v>
      </c>
      <c r="F21" s="19">
        <v>46429</v>
      </c>
      <c r="G21" s="56" t="s">
        <v>9</v>
      </c>
      <c r="H21" s="19">
        <v>46429</v>
      </c>
      <c r="I21" s="48" t="s">
        <v>399</v>
      </c>
    </row>
    <row r="22" spans="1:9" s="48" customFormat="1" x14ac:dyDescent="0.3">
      <c r="A22" s="17" t="s">
        <v>31</v>
      </c>
      <c r="B22" s="17"/>
      <c r="C22" s="23" t="s">
        <v>42</v>
      </c>
      <c r="D22" s="20" t="s">
        <v>40</v>
      </c>
      <c r="E22" s="20" t="s">
        <v>40</v>
      </c>
      <c r="F22" s="19">
        <v>46477</v>
      </c>
      <c r="G22" s="15">
        <v>250300260</v>
      </c>
      <c r="H22" s="19">
        <v>46477</v>
      </c>
    </row>
    <row r="23" spans="1:9" x14ac:dyDescent="0.3">
      <c r="A23" s="105" t="s">
        <v>23</v>
      </c>
      <c r="B23" s="105" t="s">
        <v>390</v>
      </c>
      <c r="C23" s="51" t="s">
        <v>41</v>
      </c>
      <c r="D23" s="20" t="s">
        <v>40</v>
      </c>
      <c r="E23" s="30" t="s">
        <v>193</v>
      </c>
      <c r="F23" s="19">
        <v>46429</v>
      </c>
      <c r="G23" s="54" t="s">
        <v>24</v>
      </c>
      <c r="H23" s="19">
        <v>46429</v>
      </c>
      <c r="I23" s="106"/>
    </row>
    <row r="24" spans="1:9" x14ac:dyDescent="0.3">
      <c r="A24" s="17" t="s">
        <v>29</v>
      </c>
      <c r="B24" s="17"/>
      <c r="C24" s="23" t="s">
        <v>41</v>
      </c>
      <c r="D24" s="7" t="s">
        <v>40</v>
      </c>
      <c r="E24" s="117" t="s">
        <v>386</v>
      </c>
      <c r="F24" s="19">
        <v>46429</v>
      </c>
      <c r="G24" s="15" t="s">
        <v>34</v>
      </c>
      <c r="H24" s="19">
        <v>46429</v>
      </c>
      <c r="I24" s="48"/>
    </row>
    <row r="25" spans="1:9" s="48" customFormat="1" x14ac:dyDescent="0.3">
      <c r="A25" s="17" t="s">
        <v>15</v>
      </c>
      <c r="B25" s="112" t="s">
        <v>353</v>
      </c>
      <c r="C25" s="23" t="s">
        <v>42</v>
      </c>
      <c r="D25" s="20" t="s">
        <v>40</v>
      </c>
      <c r="E25" s="109" t="s">
        <v>369</v>
      </c>
      <c r="F25" s="19">
        <v>46477</v>
      </c>
      <c r="G25" s="15" t="s">
        <v>51</v>
      </c>
      <c r="H25" s="19">
        <v>46477</v>
      </c>
    </row>
    <row r="26" spans="1:9" x14ac:dyDescent="0.3">
      <c r="A26" s="105" t="s">
        <v>32</v>
      </c>
      <c r="B26" s="105" t="s">
        <v>390</v>
      </c>
      <c r="C26" s="23" t="s">
        <v>41</v>
      </c>
      <c r="D26" s="7" t="s">
        <v>40</v>
      </c>
      <c r="E26" s="117" t="s">
        <v>386</v>
      </c>
      <c r="F26" s="19">
        <v>46429</v>
      </c>
      <c r="G26" s="54" t="s">
        <v>35</v>
      </c>
      <c r="H26" s="19">
        <v>46429</v>
      </c>
      <c r="I26" s="48"/>
    </row>
    <row r="27" spans="1:9" s="48" customFormat="1" x14ac:dyDescent="0.3">
      <c r="A27" s="92" t="s">
        <v>217</v>
      </c>
      <c r="B27" s="92"/>
      <c r="C27" s="51" t="s">
        <v>41</v>
      </c>
      <c r="D27" s="40" t="s">
        <v>41</v>
      </c>
      <c r="E27" s="40" t="s">
        <v>305</v>
      </c>
      <c r="F27" s="19">
        <v>46429</v>
      </c>
      <c r="G27" s="54" t="s">
        <v>184</v>
      </c>
      <c r="H27" s="19">
        <v>46429</v>
      </c>
      <c r="I27" s="22"/>
    </row>
    <row r="28" spans="1:9" s="47" customFormat="1" x14ac:dyDescent="0.3">
      <c r="A28" s="17" t="s">
        <v>18</v>
      </c>
      <c r="B28" s="17"/>
      <c r="C28" s="23" t="s">
        <v>41</v>
      </c>
      <c r="D28" s="20" t="s">
        <v>40</v>
      </c>
      <c r="E28" s="117" t="s">
        <v>386</v>
      </c>
      <c r="F28" s="19">
        <v>46429</v>
      </c>
      <c r="G28" s="64" t="s">
        <v>374</v>
      </c>
      <c r="H28" s="19">
        <v>46429</v>
      </c>
      <c r="I28" s="22"/>
    </row>
    <row r="29" spans="1:9" x14ac:dyDescent="0.3">
      <c r="A29" s="103" t="s">
        <v>16</v>
      </c>
      <c r="B29" s="17"/>
      <c r="C29" s="5" t="s">
        <v>42</v>
      </c>
      <c r="D29" s="20" t="s">
        <v>40</v>
      </c>
      <c r="E29" s="20" t="s">
        <v>40</v>
      </c>
      <c r="F29" s="19">
        <v>46429</v>
      </c>
      <c r="G29" s="54" t="s">
        <v>7</v>
      </c>
      <c r="H29" s="19">
        <v>46429</v>
      </c>
      <c r="I29" s="25" t="s">
        <v>379</v>
      </c>
    </row>
    <row r="30" spans="1:9" x14ac:dyDescent="0.3">
      <c r="A30" s="42" t="s">
        <v>12</v>
      </c>
      <c r="B30" s="42"/>
      <c r="C30" s="51" t="s">
        <v>41</v>
      </c>
      <c r="D30" s="52" t="s">
        <v>40</v>
      </c>
      <c r="E30" s="52" t="s">
        <v>40</v>
      </c>
      <c r="F30" s="130" t="s">
        <v>62</v>
      </c>
      <c r="G30" s="130" t="s">
        <v>62</v>
      </c>
      <c r="H30" s="130" t="s">
        <v>62</v>
      </c>
      <c r="I30" s="90" t="s">
        <v>405</v>
      </c>
    </row>
    <row r="31" spans="1:9" s="48" customFormat="1" x14ac:dyDescent="0.3">
      <c r="A31" s="105" t="s">
        <v>1</v>
      </c>
      <c r="B31" s="105" t="s">
        <v>390</v>
      </c>
      <c r="C31" s="23" t="s">
        <v>41</v>
      </c>
      <c r="D31" s="40" t="s">
        <v>41</v>
      </c>
      <c r="E31" s="40" t="s">
        <v>305</v>
      </c>
      <c r="F31" s="19">
        <v>46477</v>
      </c>
      <c r="G31" s="15" t="s">
        <v>26</v>
      </c>
      <c r="H31" s="19">
        <v>46477</v>
      </c>
    </row>
    <row r="32" spans="1:9" s="48" customFormat="1" x14ac:dyDescent="0.3">
      <c r="A32" s="104" t="s">
        <v>21</v>
      </c>
      <c r="B32" s="104"/>
      <c r="C32" s="23" t="s">
        <v>250</v>
      </c>
      <c r="D32" s="20" t="s">
        <v>40</v>
      </c>
      <c r="E32" s="107" t="s">
        <v>391</v>
      </c>
      <c r="F32" s="19">
        <v>46477</v>
      </c>
      <c r="G32" s="15" t="s">
        <v>36</v>
      </c>
      <c r="H32" s="19">
        <v>46477</v>
      </c>
      <c r="I32" s="99" t="s">
        <v>223</v>
      </c>
    </row>
    <row r="33" spans="1:9" s="48" customFormat="1" x14ac:dyDescent="0.3">
      <c r="A33" s="42" t="s">
        <v>10</v>
      </c>
      <c r="B33" s="42" t="s">
        <v>413</v>
      </c>
      <c r="C33" s="18" t="s">
        <v>41</v>
      </c>
      <c r="D33" s="88" t="s">
        <v>40</v>
      </c>
      <c r="E33" s="88" t="s">
        <v>40</v>
      </c>
      <c r="F33" s="38" t="s">
        <v>62</v>
      </c>
      <c r="G33" s="38" t="s">
        <v>62</v>
      </c>
      <c r="H33" s="38" t="s">
        <v>62</v>
      </c>
    </row>
    <row r="34" spans="1:9" s="47" customFormat="1" x14ac:dyDescent="0.3">
      <c r="A34" s="17" t="s">
        <v>13</v>
      </c>
      <c r="B34" s="17"/>
      <c r="C34" s="5" t="s">
        <v>42</v>
      </c>
      <c r="D34" s="20" t="s">
        <v>40</v>
      </c>
      <c r="E34" s="80" t="s">
        <v>383</v>
      </c>
      <c r="F34" s="19">
        <v>46429</v>
      </c>
      <c r="G34" s="15" t="s">
        <v>79</v>
      </c>
      <c r="H34" s="19">
        <v>46429</v>
      </c>
      <c r="I34" s="50"/>
    </row>
    <row r="35" spans="1:9" s="47" customFormat="1" x14ac:dyDescent="0.3">
      <c r="A35" s="45" t="s">
        <v>33</v>
      </c>
      <c r="B35" s="45" t="s">
        <v>390</v>
      </c>
      <c r="C35" s="23" t="s">
        <v>41</v>
      </c>
      <c r="D35" s="20" t="s">
        <v>40</v>
      </c>
      <c r="E35" s="20" t="s">
        <v>40</v>
      </c>
      <c r="F35" s="19">
        <v>46540</v>
      </c>
      <c r="G35" s="128" t="s">
        <v>424</v>
      </c>
      <c r="H35" s="19">
        <v>46540</v>
      </c>
      <c r="I35" s="50" t="s">
        <v>385</v>
      </c>
    </row>
    <row r="36" spans="1:9" x14ac:dyDescent="0.3">
      <c r="A36" s="17" t="s">
        <v>22</v>
      </c>
      <c r="B36" s="17"/>
      <c r="C36" s="23" t="s">
        <v>42</v>
      </c>
      <c r="D36" s="20" t="s">
        <v>40</v>
      </c>
      <c r="E36" s="20" t="s">
        <v>40</v>
      </c>
      <c r="F36" s="19">
        <v>46429</v>
      </c>
      <c r="G36" s="15" t="s">
        <v>20</v>
      </c>
      <c r="H36" s="19">
        <v>46429</v>
      </c>
      <c r="I36" s="48"/>
    </row>
    <row r="37" spans="1:9" s="48" customFormat="1" x14ac:dyDescent="0.3">
      <c r="A37" s="105" t="s">
        <v>17</v>
      </c>
      <c r="B37" s="105" t="s">
        <v>389</v>
      </c>
      <c r="C37" s="23" t="s">
        <v>41</v>
      </c>
      <c r="D37" s="40" t="s">
        <v>398</v>
      </c>
      <c r="E37" s="40" t="s">
        <v>391</v>
      </c>
      <c r="F37" s="19">
        <v>46477</v>
      </c>
      <c r="G37" s="95" t="s">
        <v>77</v>
      </c>
      <c r="H37" s="19">
        <v>46477</v>
      </c>
      <c r="I37" s="49"/>
    </row>
    <row r="38" spans="1:9" s="48" customFormat="1" x14ac:dyDescent="0.3">
      <c r="A38" s="116" t="s">
        <v>11</v>
      </c>
      <c r="B38" s="42" t="s">
        <v>414</v>
      </c>
      <c r="C38" s="18" t="s">
        <v>42</v>
      </c>
      <c r="D38" s="88" t="s">
        <v>40</v>
      </c>
      <c r="E38" s="88" t="s">
        <v>40</v>
      </c>
      <c r="F38" s="100">
        <v>46280</v>
      </c>
      <c r="G38" s="75" t="s">
        <v>122</v>
      </c>
      <c r="H38" s="100">
        <v>46280</v>
      </c>
      <c r="I38" s="49" t="s">
        <v>396</v>
      </c>
    </row>
    <row r="39" spans="1:9" s="48" customFormat="1" x14ac:dyDescent="0.3">
      <c r="A39" s="116" t="s">
        <v>0</v>
      </c>
      <c r="B39" s="42"/>
      <c r="C39" s="18" t="s">
        <v>41</v>
      </c>
      <c r="D39" s="88" t="s">
        <v>40</v>
      </c>
      <c r="E39" s="117" t="s">
        <v>386</v>
      </c>
      <c r="F39" s="19">
        <v>46510</v>
      </c>
      <c r="G39" s="119" t="s">
        <v>423</v>
      </c>
      <c r="H39" s="19">
        <v>46540</v>
      </c>
      <c r="I39" s="49"/>
    </row>
    <row r="40" spans="1:9" x14ac:dyDescent="0.3">
      <c r="A40" s="45" t="s">
        <v>19</v>
      </c>
      <c r="B40" s="45" t="s">
        <v>390</v>
      </c>
      <c r="C40" s="51" t="s">
        <v>41</v>
      </c>
      <c r="D40" s="43" t="s">
        <v>42</v>
      </c>
      <c r="E40" s="40" t="s">
        <v>357</v>
      </c>
      <c r="F40" s="19">
        <v>46429</v>
      </c>
      <c r="G40" s="53">
        <v>284</v>
      </c>
      <c r="H40" s="19">
        <v>46429</v>
      </c>
      <c r="I40" s="49"/>
    </row>
    <row r="41" spans="1:9" x14ac:dyDescent="0.3">
      <c r="A41" s="17" t="s">
        <v>224</v>
      </c>
      <c r="B41" s="17"/>
      <c r="C41" s="51" t="s">
        <v>42</v>
      </c>
      <c r="D41" s="20" t="s">
        <v>40</v>
      </c>
      <c r="E41" s="109" t="s">
        <v>369</v>
      </c>
      <c r="F41" s="19">
        <v>46429</v>
      </c>
      <c r="G41" s="53">
        <v>220406115</v>
      </c>
      <c r="H41" s="19">
        <v>46429</v>
      </c>
      <c r="I41" s="48"/>
    </row>
    <row r="42" spans="1:9" s="47" customFormat="1" x14ac:dyDescent="0.3">
      <c r="A42" s="17" t="s">
        <v>283</v>
      </c>
      <c r="B42" s="45" t="s">
        <v>353</v>
      </c>
      <c r="C42" s="23" t="s">
        <v>42</v>
      </c>
      <c r="D42" s="20" t="s">
        <v>40</v>
      </c>
      <c r="E42" s="109" t="s">
        <v>369</v>
      </c>
      <c r="F42" s="19">
        <v>46540</v>
      </c>
      <c r="G42" s="34">
        <v>250300254</v>
      </c>
      <c r="H42" s="19">
        <v>46540</v>
      </c>
    </row>
    <row r="43" spans="1:9" s="47" customFormat="1" x14ac:dyDescent="0.3">
      <c r="A43" s="17" t="s">
        <v>284</v>
      </c>
      <c r="B43" s="17"/>
      <c r="C43" s="23" t="s">
        <v>41</v>
      </c>
      <c r="D43" s="20" t="s">
        <v>40</v>
      </c>
      <c r="E43" s="124" t="s">
        <v>386</v>
      </c>
      <c r="F43" s="19">
        <v>46540</v>
      </c>
      <c r="G43" s="34">
        <v>250300255</v>
      </c>
      <c r="H43" s="19">
        <v>46540</v>
      </c>
    </row>
    <row r="44" spans="1:9" s="47" customFormat="1" x14ac:dyDescent="0.3">
      <c r="A44" s="17" t="s">
        <v>285</v>
      </c>
      <c r="B44" s="17"/>
      <c r="C44" s="23" t="s">
        <v>152</v>
      </c>
      <c r="D44" s="20" t="s">
        <v>40</v>
      </c>
      <c r="E44" s="80" t="s">
        <v>369</v>
      </c>
      <c r="F44" s="19">
        <v>46540</v>
      </c>
      <c r="G44" s="34">
        <v>250300256</v>
      </c>
      <c r="H44" s="19">
        <v>46540</v>
      </c>
    </row>
    <row r="45" spans="1:9" s="48" customFormat="1" x14ac:dyDescent="0.3">
      <c r="A45" s="42" t="s">
        <v>286</v>
      </c>
      <c r="B45" s="42"/>
      <c r="C45" s="18" t="s">
        <v>41</v>
      </c>
      <c r="D45" s="111" t="s">
        <v>42</v>
      </c>
      <c r="E45" s="111" t="s">
        <v>357</v>
      </c>
      <c r="F45" s="35">
        <v>46323</v>
      </c>
      <c r="G45" s="70">
        <v>250300257</v>
      </c>
      <c r="H45" s="35">
        <v>46323</v>
      </c>
    </row>
    <row r="46" spans="1:9" s="47" customFormat="1" x14ac:dyDescent="0.3">
      <c r="A46" s="17" t="s">
        <v>287</v>
      </c>
      <c r="B46" s="17"/>
      <c r="C46" s="23" t="s">
        <v>383</v>
      </c>
      <c r="D46" s="20" t="s">
        <v>40</v>
      </c>
      <c r="E46" s="23" t="s">
        <v>415</v>
      </c>
      <c r="F46" s="19">
        <v>46540</v>
      </c>
      <c r="G46" s="34">
        <v>250300258</v>
      </c>
      <c r="H46" s="19">
        <v>46540</v>
      </c>
    </row>
    <row r="47" spans="1:9" s="47" customFormat="1" x14ac:dyDescent="0.3">
      <c r="A47" s="17" t="s">
        <v>288</v>
      </c>
      <c r="B47" s="17"/>
      <c r="C47" s="23" t="s">
        <v>41</v>
      </c>
      <c r="D47" s="20" t="s">
        <v>40</v>
      </c>
      <c r="E47" s="109" t="s">
        <v>369</v>
      </c>
      <c r="F47" s="19">
        <v>46540</v>
      </c>
      <c r="G47" s="34">
        <v>250300259</v>
      </c>
      <c r="H47" s="19">
        <v>46540</v>
      </c>
    </row>
    <row r="48" spans="1:9" s="47" customFormat="1" x14ac:dyDescent="0.3">
      <c r="A48" s="17" t="s">
        <v>289</v>
      </c>
      <c r="B48" s="17"/>
      <c r="C48" s="23" t="s">
        <v>118</v>
      </c>
      <c r="D48" s="20" t="s">
        <v>40</v>
      </c>
      <c r="E48" s="23" t="s">
        <v>415</v>
      </c>
      <c r="F48" s="19">
        <v>46540</v>
      </c>
      <c r="G48" s="34">
        <v>250300261</v>
      </c>
      <c r="H48" s="19">
        <v>46540</v>
      </c>
    </row>
    <row r="49" spans="1:9" s="47" customFormat="1" x14ac:dyDescent="0.3">
      <c r="A49" s="17" t="s">
        <v>290</v>
      </c>
      <c r="B49" s="17"/>
      <c r="C49" s="23" t="s">
        <v>118</v>
      </c>
      <c r="D49" s="20" t="s">
        <v>40</v>
      </c>
      <c r="E49" s="20" t="s">
        <v>40</v>
      </c>
      <c r="F49" s="19">
        <v>46540</v>
      </c>
      <c r="G49" s="34">
        <v>250300263</v>
      </c>
      <c r="H49" s="19">
        <v>46540</v>
      </c>
    </row>
    <row r="50" spans="1:9" s="63" customFormat="1" x14ac:dyDescent="0.3"/>
    <row r="51" spans="1:9" s="63" customFormat="1" x14ac:dyDescent="0.3">
      <c r="G51" s="75" t="s">
        <v>30</v>
      </c>
      <c r="H51" s="100">
        <v>46280</v>
      </c>
      <c r="I51" s="63" t="s">
        <v>402</v>
      </c>
    </row>
  </sheetData>
  <autoFilter ref="A1:I49" xr:uid="{15365D89-2D9D-4C97-8A84-8E306D603C1C}"/>
  <phoneticPr fontId="5" type="noConversion"/>
  <conditionalFormatting sqref="F2:F32">
    <cfRule type="cellIs" dxfId="30" priority="13" operator="greaterThan">
      <formula>46189</formula>
    </cfRule>
  </conditionalFormatting>
  <conditionalFormatting sqref="F34:F37">
    <cfRule type="cellIs" dxfId="29" priority="9" operator="greaterThan">
      <formula>46189</formula>
    </cfRule>
  </conditionalFormatting>
  <conditionalFormatting sqref="F39:F44">
    <cfRule type="cellIs" dxfId="28" priority="7" operator="greaterThan">
      <formula>46189</formula>
    </cfRule>
  </conditionalFormatting>
  <conditionalFormatting sqref="F46:F49">
    <cfRule type="cellIs" dxfId="27" priority="5" operator="greaterThan">
      <formula>46189</formula>
    </cfRule>
  </conditionalFormatting>
  <conditionalFormatting sqref="H4:H15">
    <cfRule type="cellIs" dxfId="26" priority="1" operator="greaterThan">
      <formula>46189</formula>
    </cfRule>
  </conditionalFormatting>
  <conditionalFormatting sqref="H18:H32">
    <cfRule type="cellIs" dxfId="25" priority="3" operator="greaterThan">
      <formula>46189</formula>
    </cfRule>
  </conditionalFormatting>
  <conditionalFormatting sqref="H34:H37">
    <cfRule type="cellIs" dxfId="24" priority="8" operator="greaterThan">
      <formula>46189</formula>
    </cfRule>
  </conditionalFormatting>
  <conditionalFormatting sqref="H39:H44">
    <cfRule type="cellIs" dxfId="23" priority="2" operator="greaterThan">
      <formula>46189</formula>
    </cfRule>
  </conditionalFormatting>
  <conditionalFormatting sqref="H46:H49">
    <cfRule type="cellIs" dxfId="22" priority="4" operator="greaterThan">
      <formula>46189</formula>
    </cfRule>
  </conditionalFormatting>
  <pageMargins left="0.23622047244094491" right="3.937007874015748E-2" top="0.35433070866141736" bottom="0.55118110236220474" header="0.31496062992125984" footer="0.31496062992125984"/>
  <pageSetup paperSize="9" fitToWidth="0" orientation="landscape" r:id="rId1"/>
  <colBreaks count="1" manualBreakCount="1">
    <brk id="8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F158-B460-4B8C-AAD4-9161E82C0FC8}">
  <sheetPr codeName="Planilha7">
    <pageSetUpPr fitToPage="1"/>
  </sheetPr>
  <dimension ref="A1:I7"/>
  <sheetViews>
    <sheetView workbookViewId="0">
      <selection activeCell="H6" sqref="H6"/>
    </sheetView>
  </sheetViews>
  <sheetFormatPr defaultColWidth="9.109375" defaultRowHeight="15.6" x14ac:dyDescent="0.3"/>
  <cols>
    <col min="1" max="1" width="22.6640625" style="1" customWidth="1"/>
    <col min="2" max="2" width="25.33203125" style="1" bestFit="1" customWidth="1"/>
    <col min="3" max="3" width="17.6640625" style="6" bestFit="1" customWidth="1"/>
    <col min="4" max="4" width="14" style="6" bestFit="1" customWidth="1"/>
    <col min="5" max="5" width="15.109375" style="6" customWidth="1"/>
    <col min="6" max="6" width="20.6640625" style="10" customWidth="1"/>
    <col min="7" max="7" width="20.5546875" style="10" customWidth="1"/>
    <col min="8" max="8" width="20.6640625" style="12" customWidth="1"/>
    <col min="9" max="9" width="33.44140625" style="2" customWidth="1"/>
    <col min="10" max="16384" width="9.109375" style="2"/>
  </cols>
  <sheetData>
    <row r="1" spans="1:9" s="4" customFormat="1" ht="36" x14ac:dyDescent="0.35">
      <c r="A1" s="26" t="s">
        <v>48</v>
      </c>
      <c r="B1" s="26" t="s">
        <v>393</v>
      </c>
      <c r="C1" s="27" t="s">
        <v>114</v>
      </c>
      <c r="D1" s="26" t="s">
        <v>38</v>
      </c>
      <c r="E1" s="27" t="s">
        <v>115</v>
      </c>
      <c r="F1" s="8" t="s">
        <v>46</v>
      </c>
      <c r="G1" s="8" t="s">
        <v>45</v>
      </c>
      <c r="H1" s="8" t="s">
        <v>46</v>
      </c>
    </row>
    <row r="2" spans="1:9" s="47" customFormat="1" x14ac:dyDescent="0.3">
      <c r="A2" s="17" t="s">
        <v>6</v>
      </c>
      <c r="B2" s="15" t="s">
        <v>409</v>
      </c>
      <c r="C2" s="23" t="s">
        <v>41</v>
      </c>
      <c r="D2" s="20" t="s">
        <v>40</v>
      </c>
      <c r="E2" s="20" t="s">
        <v>40</v>
      </c>
      <c r="F2" s="19">
        <v>46540</v>
      </c>
      <c r="G2" s="15" t="s">
        <v>132</v>
      </c>
      <c r="H2" s="19">
        <v>46540</v>
      </c>
    </row>
    <row r="3" spans="1:9" x14ac:dyDescent="0.3">
      <c r="A3" s="17" t="s">
        <v>2</v>
      </c>
      <c r="B3" s="15"/>
      <c r="C3" s="23" t="s">
        <v>41</v>
      </c>
      <c r="D3" s="40" t="s">
        <v>41</v>
      </c>
      <c r="E3" s="40" t="s">
        <v>305</v>
      </c>
      <c r="F3" s="19">
        <v>46477</v>
      </c>
      <c r="G3" s="15">
        <v>169012</v>
      </c>
      <c r="H3" s="19">
        <v>46477</v>
      </c>
    </row>
    <row r="4" spans="1:9" x14ac:dyDescent="0.3">
      <c r="A4" s="17" t="s">
        <v>4</v>
      </c>
      <c r="B4" s="15"/>
      <c r="C4" s="23" t="s">
        <v>41</v>
      </c>
      <c r="D4" s="40" t="s">
        <v>42</v>
      </c>
      <c r="E4" s="40" t="s">
        <v>388</v>
      </c>
      <c r="F4" s="19">
        <v>46429</v>
      </c>
      <c r="G4" s="15" t="s">
        <v>133</v>
      </c>
      <c r="H4" s="19">
        <v>46429</v>
      </c>
      <c r="I4" s="47"/>
    </row>
    <row r="5" spans="1:9" s="63" customFormat="1" x14ac:dyDescent="0.3">
      <c r="A5" s="17" t="s">
        <v>5</v>
      </c>
      <c r="B5" s="15" t="s">
        <v>408</v>
      </c>
      <c r="C5" s="23" t="s">
        <v>41</v>
      </c>
      <c r="D5" s="20" t="s">
        <v>40</v>
      </c>
      <c r="E5" s="117" t="s">
        <v>386</v>
      </c>
      <c r="F5" s="19">
        <v>46477</v>
      </c>
      <c r="G5" s="15" t="s">
        <v>150</v>
      </c>
      <c r="H5" s="19">
        <v>46477</v>
      </c>
    </row>
    <row r="6" spans="1:9" s="47" customFormat="1" x14ac:dyDescent="0.3">
      <c r="A6" s="17" t="s">
        <v>8</v>
      </c>
      <c r="B6" s="15" t="s">
        <v>409</v>
      </c>
      <c r="C6" s="23" t="s">
        <v>41</v>
      </c>
      <c r="D6" s="20" t="s">
        <v>40</v>
      </c>
      <c r="E6" s="80" t="s">
        <v>193</v>
      </c>
      <c r="F6" s="19">
        <v>46540</v>
      </c>
      <c r="G6" s="15">
        <v>230800284</v>
      </c>
      <c r="H6" s="19">
        <v>46540</v>
      </c>
      <c r="I6" s="22" t="s">
        <v>422</v>
      </c>
    </row>
    <row r="7" spans="1:9" x14ac:dyDescent="0.3">
      <c r="A7" s="17" t="s">
        <v>225</v>
      </c>
      <c r="B7" s="15"/>
      <c r="C7" s="51" t="s">
        <v>42</v>
      </c>
      <c r="D7" s="20" t="s">
        <v>40</v>
      </c>
      <c r="E7" s="20" t="s">
        <v>40</v>
      </c>
      <c r="F7" s="19">
        <v>46429</v>
      </c>
      <c r="G7" s="13">
        <v>200204929</v>
      </c>
      <c r="H7" s="19">
        <v>46429</v>
      </c>
    </row>
  </sheetData>
  <autoFilter ref="A1:H7" xr:uid="{00000000-0001-0000-0000-000000000000}">
    <sortState xmlns:xlrd2="http://schemas.microsoft.com/office/spreadsheetml/2017/richdata2" ref="A2:H6">
      <sortCondition ref="A2:A6"/>
    </sortState>
  </autoFilter>
  <conditionalFormatting sqref="F2:F7">
    <cfRule type="cellIs" dxfId="21" priority="3" operator="greaterThan">
      <formula>46189</formula>
    </cfRule>
  </conditionalFormatting>
  <conditionalFormatting sqref="H2:H7">
    <cfRule type="cellIs" dxfId="20" priority="1" operator="greaterThan">
      <formula>46189</formula>
    </cfRule>
  </conditionalFormatting>
  <pageMargins left="0.25" right="0.25" top="0.75" bottom="0.75" header="0.3" footer="0.3"/>
  <pageSetup paperSize="9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CF9F-24AC-4416-889A-A8A2DAE818B7}">
  <sheetPr codeName="Planilha9">
    <pageSetUpPr fitToPage="1"/>
  </sheetPr>
  <dimension ref="A1:H16"/>
  <sheetViews>
    <sheetView zoomScale="98" zoomScaleNormal="98" workbookViewId="0">
      <selection activeCell="D13" sqref="D13"/>
    </sheetView>
  </sheetViews>
  <sheetFormatPr defaultColWidth="9.109375" defaultRowHeight="15.6" x14ac:dyDescent="0.3"/>
  <cols>
    <col min="1" max="1" width="27.5546875" style="1" customWidth="1"/>
    <col min="2" max="2" width="17.6640625" style="1" bestFit="1" customWidth="1"/>
    <col min="3" max="3" width="16.88671875" style="6" bestFit="1" customWidth="1"/>
    <col min="4" max="4" width="24.44140625" style="6" bestFit="1" customWidth="1"/>
    <col min="5" max="5" width="20.6640625" style="10" customWidth="1"/>
    <col min="6" max="6" width="20.5546875" style="10" customWidth="1"/>
    <col min="7" max="7" width="20.6640625" style="12" customWidth="1"/>
    <col min="8" max="8" width="38.109375" style="2" customWidth="1"/>
    <col min="9" max="16384" width="9.109375" style="2"/>
  </cols>
  <sheetData>
    <row r="1" spans="1:8" s="28" customFormat="1" ht="36" x14ac:dyDescent="0.3">
      <c r="A1" s="26" t="s">
        <v>47</v>
      </c>
      <c r="B1" s="27" t="s">
        <v>114</v>
      </c>
      <c r="C1" s="26" t="s">
        <v>38</v>
      </c>
      <c r="D1" s="27" t="s">
        <v>115</v>
      </c>
      <c r="E1" s="26" t="s">
        <v>46</v>
      </c>
      <c r="F1" s="26" t="s">
        <v>45</v>
      </c>
      <c r="G1" s="26" t="s">
        <v>46</v>
      </c>
    </row>
    <row r="2" spans="1:8" x14ac:dyDescent="0.3">
      <c r="A2" s="17" t="s">
        <v>70</v>
      </c>
      <c r="B2" s="5" t="s">
        <v>110</v>
      </c>
      <c r="C2" s="5" t="s">
        <v>110</v>
      </c>
      <c r="D2" s="33" t="s">
        <v>113</v>
      </c>
      <c r="E2" s="9">
        <v>45449</v>
      </c>
      <c r="F2" s="38" t="s">
        <v>62</v>
      </c>
      <c r="G2" s="38" t="s">
        <v>62</v>
      </c>
      <c r="H2" s="25" t="s">
        <v>111</v>
      </c>
    </row>
    <row r="3" spans="1:8" x14ac:dyDescent="0.3">
      <c r="A3" s="17" t="s">
        <v>71</v>
      </c>
      <c r="B3" s="23" t="s">
        <v>42</v>
      </c>
      <c r="C3" s="20" t="s">
        <v>40</v>
      </c>
      <c r="D3" s="20" t="s">
        <v>40</v>
      </c>
      <c r="E3" s="19">
        <v>46477</v>
      </c>
      <c r="F3" s="15">
        <v>250300265</v>
      </c>
      <c r="G3" s="19">
        <v>46477</v>
      </c>
    </row>
    <row r="4" spans="1:8" x14ac:dyDescent="0.3">
      <c r="A4" s="17" t="s">
        <v>75</v>
      </c>
      <c r="B4" s="23" t="s">
        <v>41</v>
      </c>
      <c r="C4" s="20" t="s">
        <v>40</v>
      </c>
      <c r="D4" s="20" t="s">
        <v>40</v>
      </c>
      <c r="E4" s="19">
        <v>46477</v>
      </c>
      <c r="F4" s="15" t="s">
        <v>55</v>
      </c>
      <c r="G4" s="19">
        <v>46477</v>
      </c>
    </row>
    <row r="5" spans="1:8" x14ac:dyDescent="0.3">
      <c r="A5" s="17" t="s">
        <v>74</v>
      </c>
      <c r="B5" s="5" t="s">
        <v>110</v>
      </c>
      <c r="C5" s="5" t="s">
        <v>110</v>
      </c>
      <c r="D5" s="33" t="s">
        <v>113</v>
      </c>
      <c r="E5" s="31">
        <v>45448</v>
      </c>
      <c r="F5" s="38" t="s">
        <v>62</v>
      </c>
      <c r="G5" s="38" t="s">
        <v>62</v>
      </c>
      <c r="H5" s="25" t="s">
        <v>111</v>
      </c>
    </row>
    <row r="6" spans="1:8" s="47" customFormat="1" x14ac:dyDescent="0.3">
      <c r="A6" s="17" t="s">
        <v>72</v>
      </c>
      <c r="B6" s="23" t="s">
        <v>250</v>
      </c>
      <c r="C6" s="20" t="s">
        <v>40</v>
      </c>
      <c r="D6" s="109" t="s">
        <v>369</v>
      </c>
      <c r="E6" s="19">
        <v>46540</v>
      </c>
      <c r="F6" s="15" t="s">
        <v>3</v>
      </c>
      <c r="G6" s="19">
        <v>46540</v>
      </c>
    </row>
    <row r="7" spans="1:8" s="48" customFormat="1" x14ac:dyDescent="0.3">
      <c r="A7" s="17" t="s">
        <v>73</v>
      </c>
      <c r="B7" s="23" t="s">
        <v>41</v>
      </c>
      <c r="C7" s="20" t="s">
        <v>40</v>
      </c>
      <c r="D7" s="118" t="s">
        <v>386</v>
      </c>
      <c r="E7" s="19">
        <v>46478</v>
      </c>
      <c r="F7" s="15" t="s">
        <v>37</v>
      </c>
      <c r="G7" s="19">
        <v>46478</v>
      </c>
    </row>
    <row r="8" spans="1:8" x14ac:dyDescent="0.3">
      <c r="A8" s="17" t="s">
        <v>76</v>
      </c>
      <c r="B8" s="51" t="s">
        <v>42</v>
      </c>
      <c r="C8" s="20" t="s">
        <v>40</v>
      </c>
      <c r="D8" s="80" t="s">
        <v>369</v>
      </c>
      <c r="E8" s="19">
        <v>46429</v>
      </c>
      <c r="F8" s="54" t="s">
        <v>54</v>
      </c>
      <c r="G8" s="19">
        <v>46429</v>
      </c>
    </row>
    <row r="9" spans="1:8" s="48" customFormat="1" x14ac:dyDescent="0.3">
      <c r="A9" s="17" t="s">
        <v>213</v>
      </c>
      <c r="B9" s="23" t="s">
        <v>42</v>
      </c>
      <c r="C9" s="20" t="s">
        <v>40</v>
      </c>
      <c r="D9" s="80" t="s">
        <v>410</v>
      </c>
      <c r="E9" s="19">
        <v>46477</v>
      </c>
      <c r="F9" s="34">
        <v>230800282</v>
      </c>
      <c r="G9" s="19">
        <v>46477</v>
      </c>
    </row>
    <row r="10" spans="1:8" s="48" customFormat="1" x14ac:dyDescent="0.3">
      <c r="A10" s="17" t="s">
        <v>246</v>
      </c>
      <c r="B10" s="23" t="s">
        <v>41</v>
      </c>
      <c r="C10" s="20" t="s">
        <v>40</v>
      </c>
      <c r="D10" s="20" t="s">
        <v>40</v>
      </c>
      <c r="E10" s="19">
        <v>46477</v>
      </c>
      <c r="F10" s="34">
        <v>230800281</v>
      </c>
      <c r="G10" s="19">
        <v>46477</v>
      </c>
    </row>
    <row r="11" spans="1:8" x14ac:dyDescent="0.3">
      <c r="A11" s="17" t="s">
        <v>299</v>
      </c>
      <c r="B11" s="5" t="s">
        <v>118</v>
      </c>
      <c r="C11" s="5" t="s">
        <v>110</v>
      </c>
      <c r="D11" s="33" t="s">
        <v>113</v>
      </c>
      <c r="E11" s="19">
        <v>46070</v>
      </c>
      <c r="F11" s="67">
        <v>230800283</v>
      </c>
      <c r="G11" s="9">
        <v>46247</v>
      </c>
      <c r="H11" s="25" t="s">
        <v>247</v>
      </c>
    </row>
    <row r="12" spans="1:8" x14ac:dyDescent="0.3">
      <c r="A12" s="17" t="s">
        <v>300</v>
      </c>
      <c r="B12" s="5" t="s">
        <v>118</v>
      </c>
      <c r="C12" s="5" t="s">
        <v>110</v>
      </c>
      <c r="D12" s="33" t="s">
        <v>113</v>
      </c>
      <c r="E12" s="19">
        <v>46070</v>
      </c>
      <c r="F12" s="38" t="s">
        <v>62</v>
      </c>
      <c r="G12" s="9">
        <v>46247</v>
      </c>
      <c r="H12" s="25" t="s">
        <v>247</v>
      </c>
    </row>
    <row r="13" spans="1:8" s="63" customFormat="1" x14ac:dyDescent="0.3">
      <c r="A13" s="17" t="s">
        <v>352</v>
      </c>
      <c r="B13" s="23" t="s">
        <v>118</v>
      </c>
      <c r="C13" s="5" t="s">
        <v>110</v>
      </c>
      <c r="D13" s="33" t="s">
        <v>113</v>
      </c>
      <c r="E13" s="19">
        <v>46323</v>
      </c>
      <c r="F13" s="38" t="s">
        <v>62</v>
      </c>
      <c r="G13" s="19">
        <v>46323</v>
      </c>
      <c r="H13" s="25" t="s">
        <v>354</v>
      </c>
    </row>
    <row r="14" spans="1:8" x14ac:dyDescent="0.3">
      <c r="A14" s="17" t="s">
        <v>303</v>
      </c>
      <c r="B14" s="23" t="s">
        <v>118</v>
      </c>
      <c r="C14" s="5" t="s">
        <v>110</v>
      </c>
      <c r="D14" s="33" t="s">
        <v>113</v>
      </c>
      <c r="E14" s="19">
        <v>46323</v>
      </c>
      <c r="F14" s="38" t="s">
        <v>62</v>
      </c>
      <c r="G14" s="19">
        <v>46323</v>
      </c>
      <c r="H14" s="25" t="s">
        <v>354</v>
      </c>
    </row>
    <row r="15" spans="1:8" x14ac:dyDescent="0.3">
      <c r="A15" s="17" t="s">
        <v>411</v>
      </c>
      <c r="B15" s="23" t="s">
        <v>118</v>
      </c>
      <c r="C15" s="5" t="s">
        <v>110</v>
      </c>
      <c r="D15" s="33" t="s">
        <v>113</v>
      </c>
      <c r="E15" s="19">
        <v>46323</v>
      </c>
      <c r="F15" s="38" t="s">
        <v>62</v>
      </c>
      <c r="G15" s="19">
        <v>46323</v>
      </c>
      <c r="H15" s="25" t="s">
        <v>412</v>
      </c>
    </row>
    <row r="16" spans="1:8" x14ac:dyDescent="0.3">
      <c r="A16" s="3" t="s">
        <v>387</v>
      </c>
      <c r="B16" s="23" t="s">
        <v>118</v>
      </c>
      <c r="C16" s="5" t="s">
        <v>110</v>
      </c>
      <c r="D16" s="33" t="s">
        <v>113</v>
      </c>
      <c r="E16" s="13"/>
      <c r="F16" s="38" t="s">
        <v>62</v>
      </c>
      <c r="G16" s="11"/>
      <c r="H16" s="25" t="s">
        <v>412</v>
      </c>
    </row>
  </sheetData>
  <autoFilter ref="A1:G16" xr:uid="{00000000-0001-0000-0000-000000000000}">
    <sortState xmlns:xlrd2="http://schemas.microsoft.com/office/spreadsheetml/2017/richdata2" ref="A2:G7">
      <sortCondition ref="A2:A7"/>
    </sortState>
  </autoFilter>
  <phoneticPr fontId="5" type="noConversion"/>
  <conditionalFormatting sqref="E3:E4">
    <cfRule type="cellIs" dxfId="19" priority="8" operator="greaterThan">
      <formula>46189</formula>
    </cfRule>
  </conditionalFormatting>
  <conditionalFormatting sqref="E6:E10 G6:G10">
    <cfRule type="cellIs" dxfId="18" priority="1" operator="greaterThan">
      <formula>46189</formula>
    </cfRule>
  </conditionalFormatting>
  <conditionalFormatting sqref="G3:G4">
    <cfRule type="cellIs" dxfId="17" priority="5" operator="greaterThan">
      <formula>46189</formula>
    </cfRule>
  </conditionalFormatting>
  <pageMargins left="0.25" right="0.25" top="0.75" bottom="0.7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0C47-A153-4939-95B9-287868CE7DE0}">
  <sheetPr codeName="Planilha6"/>
  <dimension ref="A1:K40"/>
  <sheetViews>
    <sheetView tabSelected="1" zoomScaleNormal="100" workbookViewId="0">
      <selection activeCell="H8" sqref="H8"/>
    </sheetView>
  </sheetViews>
  <sheetFormatPr defaultColWidth="9.109375" defaultRowHeight="15.6" x14ac:dyDescent="0.3"/>
  <cols>
    <col min="1" max="1" width="28.44140625" style="1" customWidth="1"/>
    <col min="2" max="2" width="15.6640625" style="10" customWidth="1"/>
    <col min="3" max="3" width="17.6640625" style="6" customWidth="1"/>
    <col min="4" max="4" width="17.44140625" style="6" customWidth="1"/>
    <col min="5" max="5" width="19.6640625" style="6" customWidth="1"/>
    <col min="6" max="6" width="18" style="6" customWidth="1"/>
    <col min="7" max="7" width="16.6640625" style="6" customWidth="1"/>
    <col min="8" max="8" width="20.6640625" style="10" customWidth="1"/>
    <col min="9" max="9" width="20.5546875" style="10" customWidth="1"/>
    <col min="10" max="10" width="18.109375" style="12" customWidth="1"/>
    <col min="11" max="11" width="30" style="2" customWidth="1"/>
    <col min="12" max="12" width="18.88671875" style="2" customWidth="1"/>
    <col min="13" max="13" width="9.109375" style="2" customWidth="1"/>
    <col min="14" max="16384" width="9.109375" style="2"/>
  </cols>
  <sheetData>
    <row r="1" spans="1:11" s="28" customFormat="1" ht="36" x14ac:dyDescent="0.3">
      <c r="A1" s="29" t="s">
        <v>48</v>
      </c>
      <c r="B1" s="26" t="s">
        <v>178</v>
      </c>
      <c r="C1" s="27" t="s">
        <v>114</v>
      </c>
      <c r="D1" s="26" t="s">
        <v>38</v>
      </c>
      <c r="E1" s="27" t="s">
        <v>115</v>
      </c>
      <c r="F1" s="27" t="s">
        <v>219</v>
      </c>
      <c r="G1" s="27" t="s">
        <v>212</v>
      </c>
      <c r="H1" s="26" t="s">
        <v>46</v>
      </c>
      <c r="I1" s="26" t="s">
        <v>45</v>
      </c>
      <c r="J1" s="26" t="s">
        <v>46</v>
      </c>
      <c r="K1" s="28" t="s">
        <v>392</v>
      </c>
    </row>
    <row r="2" spans="1:11" s="48" customFormat="1" x14ac:dyDescent="0.3">
      <c r="A2" s="17" t="s">
        <v>162</v>
      </c>
      <c r="B2" s="109" t="s">
        <v>180</v>
      </c>
      <c r="C2" s="23" t="s">
        <v>41</v>
      </c>
      <c r="D2" s="20" t="s">
        <v>40</v>
      </c>
      <c r="E2" s="117" t="s">
        <v>386</v>
      </c>
      <c r="F2" s="117">
        <v>6863</v>
      </c>
      <c r="G2" s="23" t="s">
        <v>220</v>
      </c>
      <c r="H2" s="19">
        <v>46477</v>
      </c>
      <c r="I2" s="34">
        <v>240108557</v>
      </c>
      <c r="J2" s="19">
        <v>46477</v>
      </c>
    </row>
    <row r="3" spans="1:11" s="48" customFormat="1" ht="15.75" customHeight="1" x14ac:dyDescent="0.3">
      <c r="A3" s="17" t="s">
        <v>163</v>
      </c>
      <c r="B3" s="109" t="s">
        <v>180</v>
      </c>
      <c r="C3" s="23" t="s">
        <v>41</v>
      </c>
      <c r="D3" s="20" t="s">
        <v>40</v>
      </c>
      <c r="E3" s="80" t="s">
        <v>369</v>
      </c>
      <c r="F3" s="80">
        <v>6804</v>
      </c>
      <c r="G3" s="46" t="s">
        <v>384</v>
      </c>
      <c r="H3" s="19">
        <v>46477</v>
      </c>
      <c r="I3" s="34">
        <v>240108558</v>
      </c>
      <c r="J3" s="19">
        <v>46477</v>
      </c>
    </row>
    <row r="4" spans="1:11" s="47" customFormat="1" ht="15.75" customHeight="1" x14ac:dyDescent="0.3">
      <c r="A4" s="17" t="s">
        <v>164</v>
      </c>
      <c r="B4" s="72" t="s">
        <v>179</v>
      </c>
      <c r="C4" s="23" t="s">
        <v>368</v>
      </c>
      <c r="D4" s="20" t="s">
        <v>40</v>
      </c>
      <c r="E4" s="20" t="s">
        <v>40</v>
      </c>
      <c r="F4" s="46" t="s">
        <v>234</v>
      </c>
      <c r="G4" s="23" t="s">
        <v>407</v>
      </c>
      <c r="H4" s="19">
        <v>46540</v>
      </c>
      <c r="I4" s="32" t="s">
        <v>360</v>
      </c>
      <c r="J4" s="19">
        <v>46540</v>
      </c>
    </row>
    <row r="5" spans="1:11" s="48" customFormat="1" x14ac:dyDescent="0.3">
      <c r="A5" s="42" t="s">
        <v>165</v>
      </c>
      <c r="B5" s="73" t="s">
        <v>179</v>
      </c>
      <c r="C5" s="18" t="s">
        <v>152</v>
      </c>
      <c r="D5" s="111" t="s">
        <v>210</v>
      </c>
      <c r="E5" s="111" t="s">
        <v>211</v>
      </c>
      <c r="F5" s="111">
        <v>6425</v>
      </c>
      <c r="G5" s="111" t="s">
        <v>291</v>
      </c>
      <c r="H5" s="35">
        <v>46154</v>
      </c>
      <c r="I5" s="70">
        <v>240108560</v>
      </c>
      <c r="J5" s="35">
        <v>46154</v>
      </c>
    </row>
    <row r="6" spans="1:11" s="48" customFormat="1" x14ac:dyDescent="0.3">
      <c r="A6" s="17" t="s">
        <v>166</v>
      </c>
      <c r="B6" s="109" t="s">
        <v>180</v>
      </c>
      <c r="C6" s="23" t="s">
        <v>41</v>
      </c>
      <c r="D6" s="20" t="s">
        <v>40</v>
      </c>
      <c r="E6" s="80" t="s">
        <v>369</v>
      </c>
      <c r="F6" s="80">
        <v>6804</v>
      </c>
      <c r="G6" s="23" t="s">
        <v>220</v>
      </c>
      <c r="H6" s="19">
        <v>46477</v>
      </c>
      <c r="I6" s="34">
        <v>240108561</v>
      </c>
      <c r="J6" s="19">
        <v>46477</v>
      </c>
    </row>
    <row r="7" spans="1:11" s="48" customFormat="1" ht="15.75" customHeight="1" x14ac:dyDescent="0.3">
      <c r="A7" s="17" t="s">
        <v>167</v>
      </c>
      <c r="B7" s="109" t="s">
        <v>180</v>
      </c>
      <c r="C7" s="23" t="s">
        <v>177</v>
      </c>
      <c r="D7" s="20" t="s">
        <v>40</v>
      </c>
      <c r="E7" s="80" t="s">
        <v>369</v>
      </c>
      <c r="F7" s="80">
        <v>6804</v>
      </c>
      <c r="G7" s="23" t="s">
        <v>220</v>
      </c>
      <c r="H7" s="19">
        <v>46477</v>
      </c>
      <c r="I7" s="32" t="s">
        <v>361</v>
      </c>
      <c r="J7" s="19">
        <v>46477</v>
      </c>
    </row>
    <row r="8" spans="1:11" s="48" customFormat="1" ht="15.75" customHeight="1" x14ac:dyDescent="0.3">
      <c r="A8" s="17" t="s">
        <v>168</v>
      </c>
      <c r="B8" s="109" t="s">
        <v>180</v>
      </c>
      <c r="C8" s="23" t="s">
        <v>210</v>
      </c>
      <c r="D8" s="20" t="s">
        <v>40</v>
      </c>
      <c r="E8" s="80" t="s">
        <v>369</v>
      </c>
      <c r="F8" s="80">
        <v>6804</v>
      </c>
      <c r="G8" s="23" t="s">
        <v>220</v>
      </c>
      <c r="H8" s="19">
        <v>46477</v>
      </c>
      <c r="I8" s="34">
        <v>240108563</v>
      </c>
      <c r="J8" s="19">
        <v>46477</v>
      </c>
    </row>
    <row r="9" spans="1:11" s="48" customFormat="1" ht="15.75" customHeight="1" x14ac:dyDescent="0.3">
      <c r="A9" s="17" t="s">
        <v>169</v>
      </c>
      <c r="B9" s="109" t="s">
        <v>180</v>
      </c>
      <c r="C9" s="23" t="s">
        <v>42</v>
      </c>
      <c r="D9" s="20" t="s">
        <v>40</v>
      </c>
      <c r="E9" s="20" t="s">
        <v>40</v>
      </c>
      <c r="F9" s="46" t="s">
        <v>234</v>
      </c>
      <c r="G9" s="46" t="s">
        <v>237</v>
      </c>
      <c r="H9" s="19">
        <v>46477</v>
      </c>
      <c r="I9" s="34">
        <v>240108564</v>
      </c>
      <c r="J9" s="19">
        <v>46477</v>
      </c>
      <c r="K9" s="48" t="s">
        <v>403</v>
      </c>
    </row>
    <row r="10" spans="1:11" s="48" customFormat="1" ht="15.75" customHeight="1" x14ac:dyDescent="0.3">
      <c r="A10" s="17" t="s">
        <v>170</v>
      </c>
      <c r="B10" s="72" t="s">
        <v>179</v>
      </c>
      <c r="C10" s="23" t="s">
        <v>41</v>
      </c>
      <c r="D10" s="20" t="s">
        <v>40</v>
      </c>
      <c r="E10" s="20" t="s">
        <v>40</v>
      </c>
      <c r="F10" s="46" t="s">
        <v>234</v>
      </c>
      <c r="G10" s="23" t="s">
        <v>237</v>
      </c>
      <c r="H10" s="19">
        <v>46477</v>
      </c>
      <c r="I10" s="34">
        <v>240108565</v>
      </c>
      <c r="J10" s="19">
        <v>46477</v>
      </c>
    </row>
    <row r="11" spans="1:11" s="48" customFormat="1" ht="15.75" customHeight="1" x14ac:dyDescent="0.3">
      <c r="A11" s="17" t="s">
        <v>171</v>
      </c>
      <c r="B11" s="72" t="s">
        <v>179</v>
      </c>
      <c r="C11" s="23" t="s">
        <v>41</v>
      </c>
      <c r="D11" s="20" t="s">
        <v>40</v>
      </c>
      <c r="E11" s="20" t="s">
        <v>40</v>
      </c>
      <c r="F11" s="46" t="s">
        <v>234</v>
      </c>
      <c r="G11" s="23" t="s">
        <v>375</v>
      </c>
      <c r="H11" s="19">
        <v>46479</v>
      </c>
      <c r="I11" s="34">
        <v>240108566</v>
      </c>
      <c r="J11" s="19">
        <v>46479</v>
      </c>
    </row>
    <row r="12" spans="1:11" s="48" customFormat="1" x14ac:dyDescent="0.3">
      <c r="A12" s="17" t="s">
        <v>172</v>
      </c>
      <c r="B12" s="109" t="s">
        <v>180</v>
      </c>
      <c r="C12" s="23" t="s">
        <v>41</v>
      </c>
      <c r="D12" s="20" t="s">
        <v>40</v>
      </c>
      <c r="E12" s="117" t="s">
        <v>386</v>
      </c>
      <c r="F12" s="117">
        <v>6863</v>
      </c>
      <c r="G12" s="46" t="s">
        <v>237</v>
      </c>
      <c r="H12" s="19">
        <v>46477</v>
      </c>
      <c r="I12" s="34">
        <v>240108567</v>
      </c>
      <c r="J12" s="19">
        <v>46477</v>
      </c>
    </row>
    <row r="13" spans="1:11" s="48" customFormat="1" ht="15.75" customHeight="1" x14ac:dyDescent="0.3">
      <c r="A13" s="17" t="s">
        <v>173</v>
      </c>
      <c r="B13" s="109" t="s">
        <v>180</v>
      </c>
      <c r="C13" s="23" t="s">
        <v>41</v>
      </c>
      <c r="D13" s="20" t="s">
        <v>40</v>
      </c>
      <c r="E13" s="117" t="s">
        <v>386</v>
      </c>
      <c r="F13" s="117">
        <v>6863</v>
      </c>
      <c r="G13" s="46" t="s">
        <v>367</v>
      </c>
      <c r="H13" s="19">
        <v>46477</v>
      </c>
      <c r="I13" s="34">
        <v>240108568</v>
      </c>
      <c r="J13" s="19">
        <v>46477</v>
      </c>
    </row>
    <row r="14" spans="1:11" s="48" customFormat="1" ht="15.75" customHeight="1" x14ac:dyDescent="0.3">
      <c r="A14" s="17" t="s">
        <v>174</v>
      </c>
      <c r="B14" s="109" t="s">
        <v>180</v>
      </c>
      <c r="C14" s="23" t="s">
        <v>41</v>
      </c>
      <c r="D14" s="20" t="s">
        <v>40</v>
      </c>
      <c r="E14" s="117" t="s">
        <v>386</v>
      </c>
      <c r="F14" s="117">
        <v>6863</v>
      </c>
      <c r="G14" s="46" t="s">
        <v>376</v>
      </c>
      <c r="H14" s="19">
        <v>46477</v>
      </c>
      <c r="I14" s="34">
        <v>240108569</v>
      </c>
      <c r="J14" s="19">
        <v>46477</v>
      </c>
    </row>
    <row r="15" spans="1:11" s="48" customFormat="1" x14ac:dyDescent="0.3">
      <c r="A15" s="17" t="s">
        <v>175</v>
      </c>
      <c r="B15" s="109" t="s">
        <v>180</v>
      </c>
      <c r="C15" s="23" t="s">
        <v>42</v>
      </c>
      <c r="D15" s="20" t="s">
        <v>40</v>
      </c>
      <c r="E15" s="109" t="s">
        <v>369</v>
      </c>
      <c r="F15" s="109">
        <v>6874</v>
      </c>
      <c r="G15" s="23" t="s">
        <v>220</v>
      </c>
      <c r="H15" s="19">
        <v>46478</v>
      </c>
      <c r="I15" s="34">
        <v>240108570</v>
      </c>
      <c r="J15" s="19">
        <v>46478</v>
      </c>
    </row>
    <row r="16" spans="1:11" s="48" customFormat="1" x14ac:dyDescent="0.3">
      <c r="A16" s="17" t="s">
        <v>176</v>
      </c>
      <c r="B16" s="109" t="s">
        <v>180</v>
      </c>
      <c r="C16" s="23" t="s">
        <v>177</v>
      </c>
      <c r="D16" s="20" t="s">
        <v>40</v>
      </c>
      <c r="E16" s="20" t="s">
        <v>40</v>
      </c>
      <c r="F16" s="46" t="s">
        <v>234</v>
      </c>
      <c r="G16" s="23" t="s">
        <v>220</v>
      </c>
      <c r="H16" s="19">
        <v>46477</v>
      </c>
      <c r="I16" s="34">
        <v>240108571</v>
      </c>
      <c r="J16" s="19">
        <v>46477</v>
      </c>
    </row>
    <row r="17" spans="1:11" s="48" customFormat="1" x14ac:dyDescent="0.3">
      <c r="A17" s="17" t="s">
        <v>157</v>
      </c>
      <c r="B17" s="109" t="s">
        <v>180</v>
      </c>
      <c r="C17" s="23" t="s">
        <v>177</v>
      </c>
      <c r="D17" s="20" t="s">
        <v>40</v>
      </c>
      <c r="E17" s="80" t="s">
        <v>410</v>
      </c>
      <c r="F17" s="80">
        <v>6891</v>
      </c>
      <c r="G17" s="46" t="s">
        <v>370</v>
      </c>
      <c r="H17" s="19">
        <v>46477</v>
      </c>
      <c r="I17" s="34">
        <v>240108572</v>
      </c>
      <c r="J17" s="19">
        <v>46477</v>
      </c>
    </row>
    <row r="18" spans="1:11" s="48" customFormat="1" x14ac:dyDescent="0.3">
      <c r="A18" s="17" t="s">
        <v>158</v>
      </c>
      <c r="B18" s="72" t="s">
        <v>179</v>
      </c>
      <c r="C18" s="23" t="s">
        <v>368</v>
      </c>
      <c r="D18" s="20" t="s">
        <v>40</v>
      </c>
      <c r="E18" s="80" t="s">
        <v>211</v>
      </c>
      <c r="F18" s="80">
        <v>6425</v>
      </c>
      <c r="G18" s="23" t="s">
        <v>237</v>
      </c>
      <c r="H18" s="19">
        <v>46477</v>
      </c>
      <c r="I18" s="34">
        <v>240108573</v>
      </c>
      <c r="J18" s="19">
        <v>46477</v>
      </c>
    </row>
    <row r="19" spans="1:11" s="48" customFormat="1" ht="15.75" customHeight="1" x14ac:dyDescent="0.3">
      <c r="A19" s="17" t="s">
        <v>159</v>
      </c>
      <c r="B19" s="72" t="s">
        <v>179</v>
      </c>
      <c r="C19" s="23" t="s">
        <v>41</v>
      </c>
      <c r="D19" s="20" t="s">
        <v>40</v>
      </c>
      <c r="E19" s="20" t="s">
        <v>40</v>
      </c>
      <c r="F19" s="46" t="s">
        <v>234</v>
      </c>
      <c r="G19" s="23" t="s">
        <v>367</v>
      </c>
      <c r="H19" s="19">
        <v>46477</v>
      </c>
      <c r="I19" s="34">
        <v>240108574</v>
      </c>
      <c r="J19" s="19">
        <v>46477</v>
      </c>
    </row>
    <row r="20" spans="1:11" s="47" customFormat="1" ht="15.75" customHeight="1" x14ac:dyDescent="0.3">
      <c r="A20" s="17" t="s">
        <v>160</v>
      </c>
      <c r="B20" s="72" t="s">
        <v>179</v>
      </c>
      <c r="C20" s="23" t="s">
        <v>364</v>
      </c>
      <c r="D20" s="20" t="s">
        <v>40</v>
      </c>
      <c r="E20" s="20" t="s">
        <v>40</v>
      </c>
      <c r="F20" s="46" t="s">
        <v>234</v>
      </c>
      <c r="G20" s="23" t="s">
        <v>376</v>
      </c>
      <c r="H20" s="19">
        <v>46540</v>
      </c>
      <c r="I20" s="32" t="s">
        <v>363</v>
      </c>
      <c r="J20" s="19">
        <v>46540</v>
      </c>
      <c r="K20" s="50"/>
    </row>
    <row r="21" spans="1:11" s="48" customFormat="1" ht="15.75" customHeight="1" x14ac:dyDescent="0.3">
      <c r="A21" s="17" t="s">
        <v>161</v>
      </c>
      <c r="B21" s="109" t="s">
        <v>180</v>
      </c>
      <c r="C21" s="23" t="s">
        <v>177</v>
      </c>
      <c r="D21" s="20" t="s">
        <v>40</v>
      </c>
      <c r="E21" s="20" t="s">
        <v>40</v>
      </c>
      <c r="F21" s="46" t="s">
        <v>234</v>
      </c>
      <c r="G21" s="23" t="s">
        <v>220</v>
      </c>
      <c r="H21" s="19">
        <v>46478</v>
      </c>
      <c r="I21" s="34">
        <v>240108576</v>
      </c>
      <c r="J21" s="19">
        <v>46478</v>
      </c>
    </row>
    <row r="22" spans="1:11" ht="15.75" customHeight="1" x14ac:dyDescent="0.3">
      <c r="A22" s="17" t="s">
        <v>214</v>
      </c>
      <c r="B22" s="71" t="s">
        <v>259</v>
      </c>
      <c r="C22" s="23" t="s">
        <v>177</v>
      </c>
      <c r="D22" s="20" t="s">
        <v>40</v>
      </c>
      <c r="E22" s="109" t="s">
        <v>369</v>
      </c>
      <c r="F22" s="109">
        <v>6874</v>
      </c>
      <c r="G22" s="46" t="s">
        <v>304</v>
      </c>
      <c r="H22" s="19">
        <v>46429</v>
      </c>
      <c r="I22" s="34">
        <v>2049</v>
      </c>
      <c r="J22" s="19">
        <v>46429</v>
      </c>
      <c r="K22" s="74"/>
    </row>
    <row r="23" spans="1:11" s="47" customFormat="1" x14ac:dyDescent="0.3">
      <c r="A23" s="17" t="s">
        <v>260</v>
      </c>
      <c r="B23" s="109" t="s">
        <v>180</v>
      </c>
      <c r="C23" s="23" t="s">
        <v>42</v>
      </c>
      <c r="D23" s="20" t="s">
        <v>40</v>
      </c>
      <c r="E23" s="20" t="s">
        <v>40</v>
      </c>
      <c r="F23" s="46" t="s">
        <v>234</v>
      </c>
      <c r="G23" s="23" t="s">
        <v>220</v>
      </c>
      <c r="H23" s="19">
        <v>46540</v>
      </c>
      <c r="I23" s="15">
        <v>250500500</v>
      </c>
      <c r="J23" s="19">
        <v>46540</v>
      </c>
    </row>
    <row r="24" spans="1:11" s="47" customFormat="1" x14ac:dyDescent="0.3">
      <c r="A24" s="17" t="s">
        <v>261</v>
      </c>
      <c r="B24" s="109" t="s">
        <v>180</v>
      </c>
      <c r="C24" s="23" t="s">
        <v>42</v>
      </c>
      <c r="D24" s="20" t="s">
        <v>40</v>
      </c>
      <c r="E24" s="20" t="s">
        <v>40</v>
      </c>
      <c r="F24" s="46" t="s">
        <v>234</v>
      </c>
      <c r="G24" s="46" t="s">
        <v>367</v>
      </c>
      <c r="H24" s="19">
        <v>46540</v>
      </c>
      <c r="I24" s="15">
        <v>250500501</v>
      </c>
      <c r="J24" s="19">
        <v>46540</v>
      </c>
    </row>
    <row r="25" spans="1:11" s="47" customFormat="1" x14ac:dyDescent="0.3">
      <c r="A25" s="17" t="s">
        <v>262</v>
      </c>
      <c r="B25" s="109" t="s">
        <v>180</v>
      </c>
      <c r="C25" s="23" t="s">
        <v>42</v>
      </c>
      <c r="D25" s="20" t="s">
        <v>40</v>
      </c>
      <c r="E25" s="20" t="s">
        <v>40</v>
      </c>
      <c r="F25" s="46" t="s">
        <v>234</v>
      </c>
      <c r="G25" s="23" t="s">
        <v>220</v>
      </c>
      <c r="H25" s="19">
        <v>46540</v>
      </c>
      <c r="I25" s="15">
        <v>250500502</v>
      </c>
      <c r="J25" s="19">
        <v>46540</v>
      </c>
    </row>
    <row r="26" spans="1:11" s="47" customFormat="1" x14ac:dyDescent="0.3">
      <c r="A26" s="17" t="s">
        <v>263</v>
      </c>
      <c r="B26" s="109" t="s">
        <v>180</v>
      </c>
      <c r="C26" s="23" t="s">
        <v>42</v>
      </c>
      <c r="D26" s="20" t="s">
        <v>40</v>
      </c>
      <c r="E26" s="20" t="s">
        <v>40</v>
      </c>
      <c r="F26" s="46" t="s">
        <v>234</v>
      </c>
      <c r="G26" s="23" t="s">
        <v>220</v>
      </c>
      <c r="H26" s="19">
        <v>46540</v>
      </c>
      <c r="I26" s="15">
        <v>250500503</v>
      </c>
      <c r="J26" s="19">
        <v>46540</v>
      </c>
    </row>
    <row r="27" spans="1:11" s="47" customFormat="1" x14ac:dyDescent="0.3">
      <c r="A27" s="17" t="s">
        <v>264</v>
      </c>
      <c r="B27" s="109" t="s">
        <v>180</v>
      </c>
      <c r="C27" s="23" t="s">
        <v>41</v>
      </c>
      <c r="D27" s="20" t="s">
        <v>40</v>
      </c>
      <c r="E27" s="20" t="s">
        <v>40</v>
      </c>
      <c r="F27" s="46" t="s">
        <v>234</v>
      </c>
      <c r="G27" s="46" t="s">
        <v>237</v>
      </c>
      <c r="H27" s="19">
        <v>46540</v>
      </c>
      <c r="I27" s="15">
        <v>250500504</v>
      </c>
      <c r="J27" s="19">
        <v>46540</v>
      </c>
    </row>
    <row r="28" spans="1:11" s="47" customFormat="1" x14ac:dyDescent="0.3">
      <c r="A28" s="17" t="s">
        <v>265</v>
      </c>
      <c r="B28" s="109" t="s">
        <v>180</v>
      </c>
      <c r="C28" s="23" t="s">
        <v>42</v>
      </c>
      <c r="D28" s="20" t="s">
        <v>40</v>
      </c>
      <c r="E28" s="20" t="s">
        <v>40</v>
      </c>
      <c r="F28" s="46" t="s">
        <v>234</v>
      </c>
      <c r="G28" s="23" t="s">
        <v>220</v>
      </c>
      <c r="H28" s="19">
        <v>46540</v>
      </c>
      <c r="I28" s="15">
        <v>250500505</v>
      </c>
      <c r="J28" s="19">
        <v>46540</v>
      </c>
    </row>
    <row r="29" spans="1:11" s="47" customFormat="1" x14ac:dyDescent="0.3">
      <c r="A29" s="17" t="s">
        <v>266</v>
      </c>
      <c r="B29" s="109" t="s">
        <v>180</v>
      </c>
      <c r="C29" s="23" t="s">
        <v>41</v>
      </c>
      <c r="D29" s="20" t="s">
        <v>40</v>
      </c>
      <c r="E29" s="20" t="s">
        <v>40</v>
      </c>
      <c r="F29" s="46" t="s">
        <v>234</v>
      </c>
      <c r="G29" s="23" t="s">
        <v>220</v>
      </c>
      <c r="H29" s="19">
        <v>46540</v>
      </c>
      <c r="I29" s="15">
        <v>250500506</v>
      </c>
      <c r="J29" s="19">
        <v>46540</v>
      </c>
    </row>
    <row r="30" spans="1:11" s="48" customFormat="1" x14ac:dyDescent="0.3">
      <c r="A30" s="17" t="s">
        <v>267</v>
      </c>
      <c r="B30" s="72" t="s">
        <v>179</v>
      </c>
      <c r="C30" s="23" t="s">
        <v>41</v>
      </c>
      <c r="D30" s="20" t="s">
        <v>40</v>
      </c>
      <c r="E30" s="80" t="s">
        <v>211</v>
      </c>
      <c r="F30" s="80">
        <v>6425</v>
      </c>
      <c r="G30" s="23" t="s">
        <v>370</v>
      </c>
      <c r="H30" s="19">
        <v>46477</v>
      </c>
      <c r="I30" s="15">
        <v>250500507</v>
      </c>
      <c r="J30" s="19">
        <v>46477</v>
      </c>
    </row>
    <row r="31" spans="1:11" s="48" customFormat="1" x14ac:dyDescent="0.3">
      <c r="A31" s="17" t="s">
        <v>268</v>
      </c>
      <c r="B31" s="72" t="s">
        <v>179</v>
      </c>
      <c r="C31" s="23" t="s">
        <v>41</v>
      </c>
      <c r="D31" s="20" t="s">
        <v>40</v>
      </c>
      <c r="E31" s="20" t="s">
        <v>40</v>
      </c>
      <c r="F31" s="46" t="s">
        <v>234</v>
      </c>
      <c r="G31" s="23" t="s">
        <v>384</v>
      </c>
      <c r="H31" s="19">
        <v>46477</v>
      </c>
      <c r="I31" s="15">
        <v>250500508</v>
      </c>
      <c r="J31" s="19">
        <v>46477</v>
      </c>
      <c r="K31" s="48" t="s">
        <v>427</v>
      </c>
    </row>
    <row r="32" spans="1:11" s="48" customFormat="1" x14ac:dyDescent="0.3">
      <c r="A32" s="17" t="s">
        <v>269</v>
      </c>
      <c r="B32" s="72" t="s">
        <v>179</v>
      </c>
      <c r="C32" s="23" t="s">
        <v>41</v>
      </c>
      <c r="D32" s="20" t="s">
        <v>40</v>
      </c>
      <c r="E32" s="20" t="s">
        <v>40</v>
      </c>
      <c r="F32" s="46" t="s">
        <v>234</v>
      </c>
      <c r="G32" s="23" t="s">
        <v>367</v>
      </c>
      <c r="H32" s="19">
        <v>46477</v>
      </c>
      <c r="I32" s="15">
        <v>250500509</v>
      </c>
      <c r="J32" s="19">
        <v>46477</v>
      </c>
    </row>
    <row r="33" spans="1:11" s="48" customFormat="1" x14ac:dyDescent="0.3">
      <c r="A33" s="42" t="s">
        <v>270</v>
      </c>
      <c r="B33" s="73" t="s">
        <v>179</v>
      </c>
      <c r="C33" s="18" t="s">
        <v>177</v>
      </c>
      <c r="D33" s="111" t="s">
        <v>41</v>
      </c>
      <c r="E33" s="111" t="s">
        <v>193</v>
      </c>
      <c r="F33" s="111">
        <v>6758</v>
      </c>
      <c r="G33" s="111" t="s">
        <v>291</v>
      </c>
      <c r="H33" s="35">
        <v>46196</v>
      </c>
      <c r="I33" s="75">
        <v>250500510</v>
      </c>
      <c r="J33" s="35">
        <v>46172</v>
      </c>
      <c r="K33" s="127" t="s">
        <v>292</v>
      </c>
    </row>
    <row r="34" spans="1:11" s="47" customFormat="1" x14ac:dyDescent="0.3">
      <c r="A34" s="17" t="s">
        <v>271</v>
      </c>
      <c r="B34" s="72" t="s">
        <v>179</v>
      </c>
      <c r="C34" s="23" t="s">
        <v>177</v>
      </c>
      <c r="D34" s="20" t="s">
        <v>40</v>
      </c>
      <c r="E34" s="20" t="s">
        <v>40</v>
      </c>
      <c r="F34" s="46" t="s">
        <v>234</v>
      </c>
      <c r="G34" s="23" t="s">
        <v>220</v>
      </c>
      <c r="H34" s="19">
        <v>46540</v>
      </c>
      <c r="I34" s="15">
        <v>250500511</v>
      </c>
      <c r="J34" s="19">
        <v>46540</v>
      </c>
      <c r="K34" s="50"/>
    </row>
    <row r="35" spans="1:11" s="48" customFormat="1" x14ac:dyDescent="0.3">
      <c r="A35" s="17" t="s">
        <v>272</v>
      </c>
      <c r="B35" s="72" t="s">
        <v>179</v>
      </c>
      <c r="C35" s="23" t="s">
        <v>41</v>
      </c>
      <c r="D35" s="20" t="s">
        <v>40</v>
      </c>
      <c r="E35" s="20" t="s">
        <v>40</v>
      </c>
      <c r="F35" s="102" t="s">
        <v>234</v>
      </c>
      <c r="G35" s="23" t="s">
        <v>394</v>
      </c>
      <c r="H35" s="19">
        <v>46477</v>
      </c>
      <c r="I35" s="15">
        <v>250500512</v>
      </c>
      <c r="J35" s="19">
        <v>46477</v>
      </c>
    </row>
    <row r="36" spans="1:11" s="47" customFormat="1" x14ac:dyDescent="0.3">
      <c r="A36" s="17" t="s">
        <v>273</v>
      </c>
      <c r="B36" s="72" t="s">
        <v>179</v>
      </c>
      <c r="C36" s="23" t="s">
        <v>125</v>
      </c>
      <c r="D36" s="20" t="s">
        <v>40</v>
      </c>
      <c r="E36" s="20" t="s">
        <v>40</v>
      </c>
      <c r="F36" s="46" t="s">
        <v>234</v>
      </c>
      <c r="G36" s="23" t="s">
        <v>220</v>
      </c>
      <c r="H36" s="19">
        <v>46540</v>
      </c>
      <c r="I36" s="32" t="s">
        <v>358</v>
      </c>
      <c r="J36" s="19">
        <v>46540</v>
      </c>
      <c r="K36" s="50"/>
    </row>
    <row r="37" spans="1:11" s="47" customFormat="1" x14ac:dyDescent="0.3">
      <c r="A37" s="17" t="s">
        <v>274</v>
      </c>
      <c r="B37" s="72" t="s">
        <v>179</v>
      </c>
      <c r="C37" s="23" t="s">
        <v>177</v>
      </c>
      <c r="D37" s="20" t="s">
        <v>40</v>
      </c>
      <c r="E37" s="20" t="s">
        <v>40</v>
      </c>
      <c r="F37" s="46" t="s">
        <v>234</v>
      </c>
      <c r="G37" s="23" t="s">
        <v>220</v>
      </c>
      <c r="H37" s="19">
        <v>46540</v>
      </c>
      <c r="I37" s="32" t="s">
        <v>400</v>
      </c>
      <c r="J37" s="19">
        <v>46540</v>
      </c>
      <c r="K37" s="50"/>
    </row>
    <row r="38" spans="1:11" s="47" customFormat="1" x14ac:dyDescent="0.3">
      <c r="A38" s="17" t="s">
        <v>275</v>
      </c>
      <c r="B38" s="72" t="s">
        <v>179</v>
      </c>
      <c r="C38" s="23" t="s">
        <v>177</v>
      </c>
      <c r="D38" s="20" t="s">
        <v>40</v>
      </c>
      <c r="E38" s="20" t="s">
        <v>40</v>
      </c>
      <c r="F38" s="46" t="s">
        <v>234</v>
      </c>
      <c r="G38" s="23" t="s">
        <v>220</v>
      </c>
      <c r="H38" s="19">
        <v>46540</v>
      </c>
      <c r="I38" s="32" t="s">
        <v>359</v>
      </c>
      <c r="J38" s="19">
        <v>46540</v>
      </c>
      <c r="K38" s="50"/>
    </row>
    <row r="39" spans="1:11" s="48" customFormat="1" x14ac:dyDescent="0.3">
      <c r="A39" s="42" t="s">
        <v>276</v>
      </c>
      <c r="B39" s="73" t="s">
        <v>179</v>
      </c>
      <c r="C39" s="18" t="s">
        <v>177</v>
      </c>
      <c r="D39" s="111" t="s">
        <v>41</v>
      </c>
      <c r="E39" s="111" t="s">
        <v>193</v>
      </c>
      <c r="F39" s="111">
        <v>6758</v>
      </c>
      <c r="G39" s="111" t="s">
        <v>291</v>
      </c>
      <c r="H39" s="35">
        <v>46196</v>
      </c>
      <c r="I39" s="75">
        <v>250500516</v>
      </c>
      <c r="J39" s="35">
        <v>46172</v>
      </c>
      <c r="K39" s="127" t="s">
        <v>292</v>
      </c>
    </row>
    <row r="40" spans="1:11" s="47" customFormat="1" x14ac:dyDescent="0.3">
      <c r="A40" s="17" t="s">
        <v>277</v>
      </c>
      <c r="B40" s="72" t="s">
        <v>179</v>
      </c>
      <c r="C40" s="23" t="s">
        <v>177</v>
      </c>
      <c r="D40" s="20" t="s">
        <v>40</v>
      </c>
      <c r="E40" s="20" t="s">
        <v>40</v>
      </c>
      <c r="F40" s="46" t="s">
        <v>234</v>
      </c>
      <c r="G40" s="23" t="s">
        <v>220</v>
      </c>
      <c r="H40" s="19">
        <v>46540</v>
      </c>
      <c r="I40" s="32" t="s">
        <v>362</v>
      </c>
      <c r="J40" s="19">
        <v>46540</v>
      </c>
      <c r="K40" s="50"/>
    </row>
  </sheetData>
  <autoFilter ref="A1:K40" xr:uid="{96FA0C47-A153-4939-95B9-287868CE7DE0}"/>
  <phoneticPr fontId="5" type="noConversion"/>
  <conditionalFormatting sqref="H2:H4 H34:H38 H40">
    <cfRule type="cellIs" dxfId="16" priority="3" operator="greaterThan">
      <formula>46189</formula>
    </cfRule>
  </conditionalFormatting>
  <conditionalFormatting sqref="H6:H32 J6:J38">
    <cfRule type="cellIs" dxfId="15" priority="1" operator="greaterThan">
      <formula>46189</formula>
    </cfRule>
  </conditionalFormatting>
  <conditionalFormatting sqref="J2:J4 J40">
    <cfRule type="cellIs" dxfId="14" priority="2" operator="greaterThan">
      <formula>46189</formula>
    </cfRule>
  </conditionalFormatting>
  <pageMargins left="0.23622047244094491" right="3.937007874015748E-2" top="0.35433070866141736" bottom="0.55118110236220474" header="0.31496062992125984" footer="0.31496062992125984"/>
  <pageSetup paperSize="9" fitToWidth="0" orientation="landscape" r:id="rId1"/>
  <ignoredErrors>
    <ignoredError sqref="I40 I36:I38 I20 I4" numberStoredAsText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3929-68F3-41A4-B719-9A0E17A65B63}">
  <sheetPr codeName="Planilha8">
    <pageSetUpPr fitToPage="1"/>
  </sheetPr>
  <dimension ref="A1:J26"/>
  <sheetViews>
    <sheetView zoomScaleNormal="100" workbookViewId="0">
      <selection activeCell="G27" sqref="G27"/>
    </sheetView>
  </sheetViews>
  <sheetFormatPr defaultColWidth="9.109375" defaultRowHeight="15.6" x14ac:dyDescent="0.3"/>
  <cols>
    <col min="1" max="1" width="24" style="1" customWidth="1"/>
    <col min="2" max="2" width="17.6640625" style="6" customWidth="1"/>
    <col min="3" max="3" width="16.88671875" style="6" customWidth="1"/>
    <col min="4" max="4" width="19.6640625" style="6" bestFit="1" customWidth="1"/>
    <col min="5" max="5" width="21.6640625" style="10" bestFit="1" customWidth="1"/>
    <col min="6" max="6" width="20.5546875" style="10" customWidth="1"/>
    <col min="7" max="8" width="20.6640625" style="12" customWidth="1"/>
    <col min="9" max="9" width="11.44140625" style="12" customWidth="1"/>
    <col min="10" max="10" width="50.5546875" style="2" customWidth="1"/>
    <col min="11" max="11" width="27.44140625" style="2" bestFit="1" customWidth="1"/>
    <col min="12" max="16384" width="9.109375" style="2"/>
  </cols>
  <sheetData>
    <row r="1" spans="1:10" s="4" customFormat="1" ht="36" x14ac:dyDescent="0.35">
      <c r="A1" s="8" t="s">
        <v>47</v>
      </c>
      <c r="B1" s="27" t="s">
        <v>114</v>
      </c>
      <c r="C1" s="26" t="s">
        <v>38</v>
      </c>
      <c r="D1" s="27" t="s">
        <v>115</v>
      </c>
      <c r="E1" s="8" t="s">
        <v>46</v>
      </c>
      <c r="F1" s="8" t="s">
        <v>45</v>
      </c>
      <c r="G1" s="8" t="s">
        <v>46</v>
      </c>
      <c r="H1" s="26" t="s">
        <v>307</v>
      </c>
      <c r="I1" s="26" t="s">
        <v>308</v>
      </c>
    </row>
    <row r="2" spans="1:10" s="47" customFormat="1" x14ac:dyDescent="0.3">
      <c r="A2" s="17" t="s">
        <v>92</v>
      </c>
      <c r="B2" s="23" t="s">
        <v>41</v>
      </c>
      <c r="C2" s="20" t="s">
        <v>40</v>
      </c>
      <c r="D2" s="80" t="s">
        <v>369</v>
      </c>
      <c r="E2" s="19">
        <v>46539</v>
      </c>
      <c r="F2" s="15" t="s">
        <v>251</v>
      </c>
      <c r="G2" s="19">
        <v>46539</v>
      </c>
      <c r="H2" s="19" t="s">
        <v>321</v>
      </c>
      <c r="I2" s="81">
        <v>10000</v>
      </c>
    </row>
    <row r="3" spans="1:10" s="48" customFormat="1" x14ac:dyDescent="0.3">
      <c r="A3" s="17" t="s">
        <v>93</v>
      </c>
      <c r="B3" s="23" t="s">
        <v>41</v>
      </c>
      <c r="C3" s="20" t="s">
        <v>40</v>
      </c>
      <c r="D3" s="80" t="s">
        <v>369</v>
      </c>
      <c r="E3" s="19">
        <v>46428</v>
      </c>
      <c r="F3" s="15" t="s">
        <v>416</v>
      </c>
      <c r="G3" s="19">
        <v>46428</v>
      </c>
      <c r="H3" s="19" t="s">
        <v>321</v>
      </c>
      <c r="I3" s="81">
        <v>10000</v>
      </c>
    </row>
    <row r="4" spans="1:10" s="48" customFormat="1" x14ac:dyDescent="0.3">
      <c r="A4" s="17" t="s">
        <v>94</v>
      </c>
      <c r="B4" s="23" t="s">
        <v>42</v>
      </c>
      <c r="C4" s="20" t="s">
        <v>40</v>
      </c>
      <c r="D4" s="20" t="s">
        <v>40</v>
      </c>
      <c r="E4" s="19">
        <v>46428</v>
      </c>
      <c r="F4" s="15" t="s">
        <v>155</v>
      </c>
      <c r="G4" s="19">
        <v>46428</v>
      </c>
      <c r="H4" s="19" t="s">
        <v>321</v>
      </c>
      <c r="I4" s="81">
        <v>10000</v>
      </c>
    </row>
    <row r="5" spans="1:10" s="48" customFormat="1" x14ac:dyDescent="0.3">
      <c r="A5" s="17" t="s">
        <v>95</v>
      </c>
      <c r="B5" s="23" t="s">
        <v>41</v>
      </c>
      <c r="C5" s="20" t="s">
        <v>40</v>
      </c>
      <c r="D5" s="20" t="s">
        <v>40</v>
      </c>
      <c r="E5" s="19">
        <v>46428</v>
      </c>
      <c r="F5" s="15">
        <v>2529</v>
      </c>
      <c r="G5" s="19">
        <v>46428</v>
      </c>
      <c r="H5" s="19" t="s">
        <v>321</v>
      </c>
      <c r="I5" s="81">
        <v>10000</v>
      </c>
      <c r="J5" s="91" t="s">
        <v>154</v>
      </c>
    </row>
    <row r="6" spans="1:10" s="48" customFormat="1" x14ac:dyDescent="0.3">
      <c r="A6" s="17" t="s">
        <v>96</v>
      </c>
      <c r="B6" s="23" t="s">
        <v>41</v>
      </c>
      <c r="C6" s="20" t="s">
        <v>40</v>
      </c>
      <c r="D6" s="80" t="s">
        <v>369</v>
      </c>
      <c r="E6" s="19">
        <v>46463</v>
      </c>
      <c r="F6" s="97" t="s">
        <v>86</v>
      </c>
      <c r="G6" s="19">
        <v>46463</v>
      </c>
      <c r="H6" s="19" t="s">
        <v>321</v>
      </c>
      <c r="I6" s="81">
        <v>10000</v>
      </c>
    </row>
    <row r="7" spans="1:10" s="48" customFormat="1" x14ac:dyDescent="0.3">
      <c r="A7" s="17" t="s">
        <v>97</v>
      </c>
      <c r="B7" s="23" t="s">
        <v>41</v>
      </c>
      <c r="C7" s="20" t="s">
        <v>40</v>
      </c>
      <c r="D7" s="20" t="s">
        <v>40</v>
      </c>
      <c r="E7" s="19">
        <v>46463</v>
      </c>
      <c r="F7" s="15" t="s">
        <v>59</v>
      </c>
      <c r="G7" s="19">
        <v>46463</v>
      </c>
      <c r="H7" s="19" t="s">
        <v>321</v>
      </c>
      <c r="I7" s="81">
        <v>10000</v>
      </c>
    </row>
    <row r="8" spans="1:10" s="48" customFormat="1" x14ac:dyDescent="0.3">
      <c r="A8" s="17" t="s">
        <v>98</v>
      </c>
      <c r="B8" s="23" t="s">
        <v>41</v>
      </c>
      <c r="C8" s="20" t="s">
        <v>40</v>
      </c>
      <c r="D8" s="20" t="s">
        <v>40</v>
      </c>
      <c r="E8" s="19">
        <v>46463</v>
      </c>
      <c r="F8" s="15" t="s">
        <v>60</v>
      </c>
      <c r="G8" s="19">
        <v>46463</v>
      </c>
      <c r="H8" s="19" t="s">
        <v>321</v>
      </c>
      <c r="I8" s="81">
        <v>10000</v>
      </c>
    </row>
    <row r="9" spans="1:10" s="48" customFormat="1" x14ac:dyDescent="0.3">
      <c r="A9" s="114" t="s">
        <v>99</v>
      </c>
      <c r="B9" s="18" t="s">
        <v>119</v>
      </c>
      <c r="C9" s="88" t="s">
        <v>40</v>
      </c>
      <c r="D9" s="88" t="s">
        <v>40</v>
      </c>
      <c r="E9" s="38" t="s">
        <v>62</v>
      </c>
      <c r="F9" s="38" t="s">
        <v>62</v>
      </c>
      <c r="G9" s="38" t="s">
        <v>62</v>
      </c>
      <c r="H9" s="35" t="s">
        <v>321</v>
      </c>
      <c r="I9" s="82">
        <v>10000</v>
      </c>
      <c r="J9" s="25" t="s">
        <v>131</v>
      </c>
    </row>
    <row r="10" spans="1:10" s="47" customFormat="1" x14ac:dyDescent="0.3">
      <c r="A10" s="17" t="s">
        <v>100</v>
      </c>
      <c r="B10" s="23" t="s">
        <v>41</v>
      </c>
      <c r="C10" s="20" t="s">
        <v>40</v>
      </c>
      <c r="D10" s="80" t="s">
        <v>369</v>
      </c>
      <c r="E10" s="19">
        <v>46539</v>
      </c>
      <c r="F10" s="15">
        <v>168487</v>
      </c>
      <c r="G10" s="19">
        <v>46539</v>
      </c>
      <c r="H10" s="19" t="s">
        <v>321</v>
      </c>
      <c r="I10" s="81">
        <v>10000</v>
      </c>
    </row>
    <row r="11" spans="1:10" s="48" customFormat="1" x14ac:dyDescent="0.3">
      <c r="A11" s="17" t="s">
        <v>101</v>
      </c>
      <c r="B11" s="23" t="s">
        <v>119</v>
      </c>
      <c r="C11" s="20" t="s">
        <v>40</v>
      </c>
      <c r="D11" s="20" t="s">
        <v>40</v>
      </c>
      <c r="E11" s="19">
        <v>46428</v>
      </c>
      <c r="F11" s="15" t="s">
        <v>67</v>
      </c>
      <c r="G11" s="19">
        <v>46428</v>
      </c>
      <c r="H11" s="19" t="s">
        <v>321</v>
      </c>
      <c r="I11" s="81">
        <v>10000</v>
      </c>
    </row>
    <row r="12" spans="1:10" s="48" customFormat="1" x14ac:dyDescent="0.3">
      <c r="A12" s="103" t="s">
        <v>102</v>
      </c>
      <c r="B12" s="23" t="s">
        <v>42</v>
      </c>
      <c r="C12" s="20" t="s">
        <v>40</v>
      </c>
      <c r="D12" s="20" t="s">
        <v>40</v>
      </c>
      <c r="E12" s="19">
        <v>46428</v>
      </c>
      <c r="F12" s="15" t="s">
        <v>156</v>
      </c>
      <c r="G12" s="19">
        <v>46428</v>
      </c>
      <c r="H12" s="19" t="s">
        <v>321</v>
      </c>
      <c r="I12" s="81">
        <v>10000</v>
      </c>
      <c r="J12" s="25" t="s">
        <v>406</v>
      </c>
    </row>
    <row r="13" spans="1:10" s="47" customFormat="1" x14ac:dyDescent="0.3">
      <c r="A13" s="103" t="s">
        <v>103</v>
      </c>
      <c r="B13" s="23" t="s">
        <v>250</v>
      </c>
      <c r="C13" s="20" t="s">
        <v>40</v>
      </c>
      <c r="D13" s="20" t="s">
        <v>40</v>
      </c>
      <c r="E13" s="19">
        <v>46228</v>
      </c>
      <c r="F13" s="15" t="s">
        <v>78</v>
      </c>
      <c r="G13" s="19">
        <v>46228</v>
      </c>
      <c r="H13" s="19" t="s">
        <v>321</v>
      </c>
      <c r="I13" s="81">
        <v>10000</v>
      </c>
      <c r="J13" s="66" t="s">
        <v>373</v>
      </c>
    </row>
    <row r="14" spans="1:10" s="48" customFormat="1" x14ac:dyDescent="0.3">
      <c r="A14" s="17" t="s">
        <v>104</v>
      </c>
      <c r="B14" s="23" t="s">
        <v>42</v>
      </c>
      <c r="C14" s="20" t="s">
        <v>40</v>
      </c>
      <c r="D14" s="20" t="s">
        <v>40</v>
      </c>
      <c r="E14" s="19">
        <v>46428</v>
      </c>
      <c r="F14" s="15" t="s">
        <v>61</v>
      </c>
      <c r="G14" s="19">
        <v>46428</v>
      </c>
      <c r="H14" s="19" t="s">
        <v>321</v>
      </c>
      <c r="I14" s="81">
        <v>10000</v>
      </c>
    </row>
    <row r="15" spans="1:10" s="48" customFormat="1" x14ac:dyDescent="0.3">
      <c r="A15" s="114" t="s">
        <v>105</v>
      </c>
      <c r="B15" s="18" t="s">
        <v>41</v>
      </c>
      <c r="C15" s="88" t="s">
        <v>40</v>
      </c>
      <c r="D15" s="88" t="s">
        <v>40</v>
      </c>
      <c r="E15" s="35">
        <v>45829</v>
      </c>
      <c r="F15" s="110" t="s">
        <v>62</v>
      </c>
      <c r="G15" s="110" t="s">
        <v>62</v>
      </c>
      <c r="H15" s="35" t="s">
        <v>321</v>
      </c>
      <c r="I15" s="82">
        <v>10000</v>
      </c>
      <c r="J15" s="25" t="s">
        <v>198</v>
      </c>
    </row>
    <row r="16" spans="1:10" x14ac:dyDescent="0.3">
      <c r="A16" s="17" t="s">
        <v>106</v>
      </c>
      <c r="B16" s="23" t="s">
        <v>41</v>
      </c>
      <c r="C16" s="40" t="s">
        <v>41</v>
      </c>
      <c r="D16" s="40" t="s">
        <v>44</v>
      </c>
      <c r="E16" s="19">
        <v>46437</v>
      </c>
      <c r="F16" s="15">
        <v>708621</v>
      </c>
      <c r="G16" s="19">
        <v>46437</v>
      </c>
      <c r="H16" s="19" t="s">
        <v>321</v>
      </c>
      <c r="I16" s="81">
        <v>10000</v>
      </c>
      <c r="J16" s="48" t="s">
        <v>377</v>
      </c>
    </row>
    <row r="17" spans="1:10" x14ac:dyDescent="0.3">
      <c r="A17" s="17" t="s">
        <v>107</v>
      </c>
      <c r="B17" s="23" t="s">
        <v>41</v>
      </c>
      <c r="C17" s="40" t="s">
        <v>41</v>
      </c>
      <c r="D17" s="40" t="s">
        <v>44</v>
      </c>
      <c r="E17" s="19">
        <v>46442</v>
      </c>
      <c r="F17" s="94" t="s">
        <v>80</v>
      </c>
      <c r="G17" s="19">
        <v>46442</v>
      </c>
      <c r="H17" s="19" t="s">
        <v>321</v>
      </c>
      <c r="I17" s="81">
        <v>10000</v>
      </c>
      <c r="J17" s="48" t="s">
        <v>378</v>
      </c>
    </row>
    <row r="18" spans="1:10" s="48" customFormat="1" x14ac:dyDescent="0.3">
      <c r="A18" s="17" t="s">
        <v>108</v>
      </c>
      <c r="B18" s="23" t="s">
        <v>250</v>
      </c>
      <c r="C18" s="88" t="s">
        <v>40</v>
      </c>
      <c r="D18" s="101" t="s">
        <v>369</v>
      </c>
      <c r="E18" s="19">
        <v>46463</v>
      </c>
      <c r="F18" s="97" t="s">
        <v>89</v>
      </c>
      <c r="G18" s="19">
        <v>46463</v>
      </c>
      <c r="H18" s="19" t="s">
        <v>321</v>
      </c>
      <c r="I18" s="81">
        <v>10000</v>
      </c>
      <c r="J18" s="48" t="s">
        <v>404</v>
      </c>
    </row>
    <row r="19" spans="1:10" s="48" customFormat="1" x14ac:dyDescent="0.3">
      <c r="A19" s="17" t="s">
        <v>109</v>
      </c>
      <c r="B19" s="23" t="s">
        <v>250</v>
      </c>
      <c r="C19" s="20" t="s">
        <v>40</v>
      </c>
      <c r="D19" s="80" t="s">
        <v>356</v>
      </c>
      <c r="E19" s="19">
        <v>46463</v>
      </c>
      <c r="F19" s="15" t="s">
        <v>81</v>
      </c>
      <c r="G19" s="19">
        <v>46463</v>
      </c>
      <c r="H19" s="19" t="s">
        <v>321</v>
      </c>
      <c r="I19" s="81">
        <v>10000</v>
      </c>
    </row>
    <row r="20" spans="1:10" s="48" customFormat="1" x14ac:dyDescent="0.3">
      <c r="A20" s="17" t="s">
        <v>116</v>
      </c>
      <c r="B20" s="23" t="s">
        <v>42</v>
      </c>
      <c r="C20" s="20" t="s">
        <v>40</v>
      </c>
      <c r="D20" s="20" t="s">
        <v>40</v>
      </c>
      <c r="E20" s="19">
        <v>46477</v>
      </c>
      <c r="F20" s="36" t="s">
        <v>248</v>
      </c>
      <c r="G20" s="19">
        <v>46477</v>
      </c>
      <c r="H20" s="19" t="s">
        <v>322</v>
      </c>
      <c r="I20" s="81">
        <v>11000</v>
      </c>
      <c r="J20" s="25" t="s">
        <v>216</v>
      </c>
    </row>
    <row r="21" spans="1:10" s="48" customFormat="1" x14ac:dyDescent="0.3">
      <c r="A21" s="17" t="s">
        <v>117</v>
      </c>
      <c r="B21" s="23" t="s">
        <v>42</v>
      </c>
      <c r="C21" s="20" t="s">
        <v>40</v>
      </c>
      <c r="D21" s="20" t="s">
        <v>40</v>
      </c>
      <c r="E21" s="19">
        <v>46477</v>
      </c>
      <c r="F21" s="36" t="s">
        <v>218</v>
      </c>
      <c r="G21" s="19">
        <v>46477</v>
      </c>
      <c r="H21" s="19" t="s">
        <v>322</v>
      </c>
      <c r="I21" s="81">
        <v>11000</v>
      </c>
      <c r="J21" s="25" t="s">
        <v>216</v>
      </c>
    </row>
    <row r="22" spans="1:10" s="48" customFormat="1" x14ac:dyDescent="0.3">
      <c r="A22" s="17" t="s">
        <v>221</v>
      </c>
      <c r="B22" s="23" t="s">
        <v>41</v>
      </c>
      <c r="C22" s="20" t="s">
        <v>40</v>
      </c>
      <c r="D22" s="80" t="s">
        <v>410</v>
      </c>
      <c r="E22" s="19">
        <v>46428</v>
      </c>
      <c r="F22" s="36" t="s">
        <v>230</v>
      </c>
      <c r="G22" s="19">
        <v>46428</v>
      </c>
      <c r="H22" s="19" t="s">
        <v>322</v>
      </c>
      <c r="I22" s="81">
        <v>11000</v>
      </c>
    </row>
    <row r="23" spans="1:10" s="48" customFormat="1" x14ac:dyDescent="0.3">
      <c r="A23" s="17" t="s">
        <v>222</v>
      </c>
      <c r="B23" s="23" t="s">
        <v>41</v>
      </c>
      <c r="C23" s="20" t="s">
        <v>40</v>
      </c>
      <c r="D23" s="80" t="s">
        <v>410</v>
      </c>
      <c r="E23" s="19">
        <v>46428</v>
      </c>
      <c r="F23" s="36" t="s">
        <v>231</v>
      </c>
      <c r="G23" s="19">
        <v>46428</v>
      </c>
      <c r="H23" s="19" t="s">
        <v>322</v>
      </c>
      <c r="I23" s="81">
        <v>11000</v>
      </c>
    </row>
    <row r="24" spans="1:10" x14ac:dyDescent="0.3">
      <c r="A24" s="17" t="s">
        <v>301</v>
      </c>
      <c r="B24" s="23" t="s">
        <v>42</v>
      </c>
      <c r="C24" s="20" t="s">
        <v>40</v>
      </c>
      <c r="D24" s="118" t="s">
        <v>386</v>
      </c>
      <c r="E24" s="19">
        <v>46348</v>
      </c>
      <c r="F24" s="36" t="s">
        <v>350</v>
      </c>
      <c r="G24" s="19">
        <v>46347</v>
      </c>
      <c r="H24" s="19" t="s">
        <v>322</v>
      </c>
      <c r="I24" s="81">
        <v>11000</v>
      </c>
      <c r="J24" s="62" t="s">
        <v>216</v>
      </c>
    </row>
    <row r="25" spans="1:10" x14ac:dyDescent="0.3">
      <c r="A25" s="17" t="s">
        <v>302</v>
      </c>
      <c r="B25" s="23" t="s">
        <v>42</v>
      </c>
      <c r="C25" s="20" t="s">
        <v>40</v>
      </c>
      <c r="D25" s="118" t="s">
        <v>386</v>
      </c>
      <c r="E25" s="19">
        <v>46348</v>
      </c>
      <c r="F25" s="36" t="s">
        <v>351</v>
      </c>
      <c r="G25" s="19">
        <v>46347</v>
      </c>
      <c r="H25" s="19" t="s">
        <v>322</v>
      </c>
      <c r="I25" s="81">
        <v>11000</v>
      </c>
      <c r="J25" s="62" t="s">
        <v>216</v>
      </c>
    </row>
    <row r="26" spans="1:10" x14ac:dyDescent="0.3">
      <c r="A26" s="17" t="s">
        <v>365</v>
      </c>
      <c r="B26" s="23" t="s">
        <v>42</v>
      </c>
      <c r="C26" s="20" t="s">
        <v>40</v>
      </c>
      <c r="D26" s="20" t="s">
        <v>40</v>
      </c>
      <c r="E26" s="19">
        <v>46374</v>
      </c>
      <c r="F26" s="36" t="s">
        <v>371</v>
      </c>
      <c r="G26" s="19">
        <v>46370</v>
      </c>
      <c r="H26" s="19" t="s">
        <v>322</v>
      </c>
      <c r="I26" s="81">
        <v>11000</v>
      </c>
      <c r="J26" s="62" t="s">
        <v>366</v>
      </c>
    </row>
  </sheetData>
  <autoFilter ref="A1:G26" xr:uid="{00000000-0001-0000-0000-000000000000}">
    <sortState xmlns:xlrd2="http://schemas.microsoft.com/office/spreadsheetml/2017/richdata2" ref="A2:G9">
      <sortCondition ref="A2:A9"/>
    </sortState>
  </autoFilter>
  <phoneticPr fontId="5" type="noConversion"/>
  <conditionalFormatting sqref="E2:E8 G2:G8 E10:E12 G10:G12">
    <cfRule type="cellIs" dxfId="13" priority="1" operator="greaterThan">
      <formula>46189</formula>
    </cfRule>
  </conditionalFormatting>
  <conditionalFormatting sqref="E14 G14">
    <cfRule type="cellIs" dxfId="12" priority="8" operator="greaterThan">
      <formula>46189</formula>
    </cfRule>
  </conditionalFormatting>
  <conditionalFormatting sqref="E16:E23">
    <cfRule type="cellIs" dxfId="11" priority="5" operator="greaterThan">
      <formula>46189</formula>
    </cfRule>
  </conditionalFormatting>
  <conditionalFormatting sqref="G16:G23">
    <cfRule type="cellIs" dxfId="10" priority="2" operator="greaterThan">
      <formula>46189</formula>
    </cfRule>
  </conditionalFormatting>
  <pageMargins left="0.25" right="0.25" top="0.75" bottom="0.75" header="0.3" footer="0.3"/>
  <pageSetup paperSize="9" orientation="landscape" r:id="rId1"/>
  <ignoredErrors>
    <ignoredError sqref="F21" numberStoredAsText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0683-2D24-4860-8CF6-31CB563B9511}">
  <sheetPr codeName="Planilha10">
    <pageSetUpPr fitToPage="1"/>
  </sheetPr>
  <dimension ref="A1:J8"/>
  <sheetViews>
    <sheetView zoomScaleNormal="100" workbookViewId="0">
      <selection activeCell="A3" sqref="A3:XFD3"/>
    </sheetView>
  </sheetViews>
  <sheetFormatPr defaultColWidth="9.109375" defaultRowHeight="15.6" x14ac:dyDescent="0.3"/>
  <cols>
    <col min="1" max="1" width="24" style="1" customWidth="1"/>
    <col min="2" max="2" width="17.6640625" style="1" customWidth="1"/>
    <col min="3" max="3" width="14" style="6" customWidth="1"/>
    <col min="4" max="4" width="15.109375" style="6" customWidth="1"/>
    <col min="5" max="5" width="20.6640625" style="10" customWidth="1"/>
    <col min="6" max="6" width="20.5546875" style="10" customWidth="1"/>
    <col min="7" max="8" width="20.6640625" style="12" customWidth="1"/>
    <col min="9" max="9" width="16.33203125" style="12" customWidth="1"/>
    <col min="10" max="10" width="26.109375" style="2" customWidth="1"/>
    <col min="11" max="16384" width="9.109375" style="2"/>
  </cols>
  <sheetData>
    <row r="1" spans="1:10" s="28" customFormat="1" ht="36" x14ac:dyDescent="0.3">
      <c r="A1" s="26" t="s">
        <v>47</v>
      </c>
      <c r="B1" s="27" t="s">
        <v>114</v>
      </c>
      <c r="C1" s="26" t="s">
        <v>38</v>
      </c>
      <c r="D1" s="27" t="s">
        <v>115</v>
      </c>
      <c r="E1" s="26" t="s">
        <v>46</v>
      </c>
      <c r="F1" s="26" t="s">
        <v>45</v>
      </c>
      <c r="G1" s="26" t="s">
        <v>46</v>
      </c>
      <c r="H1" s="26" t="s">
        <v>307</v>
      </c>
      <c r="I1" s="26" t="s">
        <v>308</v>
      </c>
    </row>
    <row r="2" spans="1:10" x14ac:dyDescent="0.3">
      <c r="A2" s="114" t="s">
        <v>323</v>
      </c>
      <c r="B2" s="5" t="s">
        <v>42</v>
      </c>
      <c r="C2" s="20" t="s">
        <v>40</v>
      </c>
      <c r="D2" s="7" t="s">
        <v>40</v>
      </c>
      <c r="E2" s="21">
        <v>45210</v>
      </c>
      <c r="F2" s="38" t="s">
        <v>62</v>
      </c>
      <c r="G2" s="38" t="s">
        <v>62</v>
      </c>
      <c r="H2" s="19" t="s">
        <v>330</v>
      </c>
      <c r="I2" s="81">
        <v>7000</v>
      </c>
      <c r="J2" s="22" t="s">
        <v>82</v>
      </c>
    </row>
    <row r="3" spans="1:10" x14ac:dyDescent="0.3">
      <c r="A3" s="17" t="s">
        <v>324</v>
      </c>
      <c r="B3" s="5" t="s">
        <v>42</v>
      </c>
      <c r="C3" s="43" t="s">
        <v>41</v>
      </c>
      <c r="D3" s="43" t="s">
        <v>44</v>
      </c>
      <c r="E3" s="19">
        <v>46438</v>
      </c>
      <c r="F3" s="96" t="s">
        <v>130</v>
      </c>
      <c r="G3" s="19">
        <v>46438</v>
      </c>
      <c r="H3" s="19" t="s">
        <v>331</v>
      </c>
      <c r="I3" s="81">
        <v>6000</v>
      </c>
      <c r="J3" s="48" t="s">
        <v>377</v>
      </c>
    </row>
    <row r="4" spans="1:10" x14ac:dyDescent="0.3">
      <c r="A4" s="114" t="s">
        <v>325</v>
      </c>
      <c r="B4" s="5" t="s">
        <v>41</v>
      </c>
      <c r="C4" s="20" t="s">
        <v>40</v>
      </c>
      <c r="D4" s="20" t="s">
        <v>40</v>
      </c>
      <c r="E4" s="68">
        <v>45470</v>
      </c>
      <c r="F4" s="38" t="s">
        <v>62</v>
      </c>
      <c r="G4" s="38" t="s">
        <v>62</v>
      </c>
      <c r="H4" s="19" t="s">
        <v>332</v>
      </c>
      <c r="I4" s="81">
        <v>6000</v>
      </c>
      <c r="J4" s="22" t="s">
        <v>194</v>
      </c>
    </row>
    <row r="5" spans="1:10" s="48" customFormat="1" x14ac:dyDescent="0.3">
      <c r="A5" s="114" t="s">
        <v>326</v>
      </c>
      <c r="B5" s="18" t="s">
        <v>41</v>
      </c>
      <c r="C5" s="88" t="s">
        <v>40</v>
      </c>
      <c r="D5" s="88" t="s">
        <v>40</v>
      </c>
      <c r="E5" s="35">
        <v>45829</v>
      </c>
      <c r="F5" s="35" t="s">
        <v>69</v>
      </c>
      <c r="G5" s="35">
        <v>45829</v>
      </c>
      <c r="H5" s="35" t="s">
        <v>333</v>
      </c>
      <c r="I5" s="82">
        <v>6000</v>
      </c>
      <c r="J5" s="22" t="s">
        <v>194</v>
      </c>
    </row>
    <row r="6" spans="1:10" s="47" customFormat="1" x14ac:dyDescent="0.3">
      <c r="A6" s="17" t="s">
        <v>327</v>
      </c>
      <c r="B6" s="23" t="s">
        <v>41</v>
      </c>
      <c r="C6" s="20" t="s">
        <v>40</v>
      </c>
      <c r="D6" s="20" t="s">
        <v>40</v>
      </c>
      <c r="E6" s="19">
        <v>46539</v>
      </c>
      <c r="F6" s="122" t="s">
        <v>85</v>
      </c>
      <c r="G6" s="19">
        <v>46539</v>
      </c>
      <c r="H6" s="19" t="s">
        <v>331</v>
      </c>
      <c r="I6" s="81">
        <v>6000</v>
      </c>
      <c r="J6" s="50"/>
    </row>
    <row r="7" spans="1:10" s="47" customFormat="1" x14ac:dyDescent="0.3">
      <c r="A7" s="17" t="s">
        <v>328</v>
      </c>
      <c r="B7" s="23" t="s">
        <v>41</v>
      </c>
      <c r="C7" s="20" t="s">
        <v>40</v>
      </c>
      <c r="D7" s="80" t="s">
        <v>369</v>
      </c>
      <c r="E7" s="19">
        <v>46539</v>
      </c>
      <c r="F7" s="122" t="s">
        <v>127</v>
      </c>
      <c r="G7" s="19">
        <v>46539</v>
      </c>
      <c r="H7" s="19" t="s">
        <v>331</v>
      </c>
      <c r="I7" s="81">
        <v>6000</v>
      </c>
      <c r="J7" s="50"/>
    </row>
    <row r="8" spans="1:10" s="47" customFormat="1" x14ac:dyDescent="0.3">
      <c r="A8" s="17" t="s">
        <v>329</v>
      </c>
      <c r="B8" s="23" t="s">
        <v>42</v>
      </c>
      <c r="C8" s="20" t="s">
        <v>40</v>
      </c>
      <c r="D8" s="20" t="s">
        <v>40</v>
      </c>
      <c r="E8" s="19">
        <v>46539</v>
      </c>
      <c r="F8" s="15" t="s">
        <v>191</v>
      </c>
      <c r="G8" s="19">
        <v>46539</v>
      </c>
      <c r="H8" s="19" t="s">
        <v>331</v>
      </c>
      <c r="I8" s="81">
        <v>6000</v>
      </c>
      <c r="J8" s="50"/>
    </row>
  </sheetData>
  <autoFilter ref="A1:G8" xr:uid="{00000000-0001-0000-0000-000000000000}">
    <sortState xmlns:xlrd2="http://schemas.microsoft.com/office/spreadsheetml/2017/richdata2" ref="A2:G4">
      <sortCondition ref="A2:A4"/>
    </sortState>
  </autoFilter>
  <phoneticPr fontId="5" type="noConversion"/>
  <conditionalFormatting sqref="E3 G3">
    <cfRule type="cellIs" dxfId="9" priority="2" operator="greaterThan">
      <formula>46189</formula>
    </cfRule>
  </conditionalFormatting>
  <conditionalFormatting sqref="E6:E8 G6:G8">
    <cfRule type="cellIs" dxfId="8" priority="1" operator="greaterThan">
      <formula>46189</formula>
    </cfRule>
  </conditionalFormatting>
  <pageMargins left="0.25" right="0.25" top="0.75" bottom="0.75" header="0.3" footer="0.3"/>
  <pageSetup paperSize="9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3082-D5ED-429A-8E47-C8AF563EEB85}">
  <sheetPr>
    <pageSetUpPr fitToPage="1"/>
  </sheetPr>
  <dimension ref="A1:I7"/>
  <sheetViews>
    <sheetView zoomScaleNormal="100" workbookViewId="0">
      <selection activeCell="E7" sqref="E7"/>
    </sheetView>
  </sheetViews>
  <sheetFormatPr defaultColWidth="9.109375" defaultRowHeight="15.6" x14ac:dyDescent="0.3"/>
  <cols>
    <col min="1" max="1" width="24" style="1" customWidth="1"/>
    <col min="2" max="2" width="17.6640625" style="1" customWidth="1"/>
    <col min="3" max="3" width="14" style="6" customWidth="1"/>
    <col min="4" max="4" width="15.109375" style="6" customWidth="1"/>
    <col min="5" max="5" width="20.6640625" style="10" customWidth="1"/>
    <col min="6" max="6" width="20.5546875" style="10" customWidth="1"/>
    <col min="7" max="7" width="20.6640625" style="12" customWidth="1"/>
    <col min="8" max="8" width="26.109375" style="2" customWidth="1"/>
    <col min="9" max="9" width="13" style="2" customWidth="1"/>
    <col min="10" max="16384" width="9.109375" style="2"/>
  </cols>
  <sheetData>
    <row r="1" spans="1:9" s="28" customFormat="1" ht="36" x14ac:dyDescent="0.3">
      <c r="A1" s="26" t="s">
        <v>47</v>
      </c>
      <c r="B1" s="27" t="s">
        <v>114</v>
      </c>
      <c r="C1" s="26" t="s">
        <v>38</v>
      </c>
      <c r="D1" s="27" t="s">
        <v>115</v>
      </c>
      <c r="E1" s="26" t="s">
        <v>46</v>
      </c>
      <c r="F1" s="26" t="s">
        <v>45</v>
      </c>
      <c r="G1" s="26" t="s">
        <v>46</v>
      </c>
      <c r="H1" s="26" t="s">
        <v>307</v>
      </c>
      <c r="I1" s="26" t="s">
        <v>308</v>
      </c>
    </row>
    <row r="2" spans="1:9" s="47" customFormat="1" x14ac:dyDescent="0.3">
      <c r="A2" s="17" t="s">
        <v>252</v>
      </c>
      <c r="B2" s="23" t="s">
        <v>42</v>
      </c>
      <c r="C2" s="20" t="s">
        <v>40</v>
      </c>
      <c r="D2" s="109" t="s">
        <v>369</v>
      </c>
      <c r="E2" s="19">
        <v>46539</v>
      </c>
      <c r="F2" s="64" t="s">
        <v>253</v>
      </c>
      <c r="G2" s="19">
        <v>46539</v>
      </c>
      <c r="H2" s="19" t="s">
        <v>336</v>
      </c>
      <c r="I2" s="81">
        <v>1800</v>
      </c>
    </row>
    <row r="3" spans="1:9" s="47" customFormat="1" x14ac:dyDescent="0.3">
      <c r="A3" s="17" t="s">
        <v>254</v>
      </c>
      <c r="B3" s="23" t="s">
        <v>42</v>
      </c>
      <c r="C3" s="20" t="s">
        <v>40</v>
      </c>
      <c r="D3" s="109" t="s">
        <v>369</v>
      </c>
      <c r="E3" s="19">
        <v>46539</v>
      </c>
      <c r="F3" s="64" t="s">
        <v>255</v>
      </c>
      <c r="G3" s="19">
        <v>46539</v>
      </c>
      <c r="H3" s="19" t="s">
        <v>334</v>
      </c>
      <c r="I3" s="81">
        <v>1200</v>
      </c>
    </row>
    <row r="4" spans="1:9" s="47" customFormat="1" x14ac:dyDescent="0.3">
      <c r="A4" s="17" t="s">
        <v>256</v>
      </c>
      <c r="B4" s="23" t="s">
        <v>42</v>
      </c>
      <c r="C4" s="20" t="s">
        <v>40</v>
      </c>
      <c r="D4" s="109" t="s">
        <v>369</v>
      </c>
      <c r="E4" s="19">
        <v>46539</v>
      </c>
      <c r="F4" s="64" t="s">
        <v>257</v>
      </c>
      <c r="G4" s="19">
        <v>46539</v>
      </c>
      <c r="H4" s="19" t="s">
        <v>334</v>
      </c>
      <c r="I4" s="81">
        <v>1600</v>
      </c>
    </row>
    <row r="5" spans="1:9" s="47" customFormat="1" x14ac:dyDescent="0.3">
      <c r="A5" s="17" t="s">
        <v>258</v>
      </c>
      <c r="B5" s="23" t="s">
        <v>42</v>
      </c>
      <c r="C5" s="20" t="s">
        <v>40</v>
      </c>
      <c r="D5" s="109" t="s">
        <v>369</v>
      </c>
      <c r="E5" s="19">
        <v>46539</v>
      </c>
      <c r="F5" s="64">
        <v>1</v>
      </c>
      <c r="G5" s="19">
        <v>46539</v>
      </c>
      <c r="H5" s="123" t="s">
        <v>335</v>
      </c>
      <c r="I5" s="81">
        <v>1000</v>
      </c>
    </row>
    <row r="6" spans="1:9" s="47" customFormat="1" x14ac:dyDescent="0.3">
      <c r="A6" s="17" t="s">
        <v>278</v>
      </c>
      <c r="B6" s="23" t="s">
        <v>42</v>
      </c>
      <c r="C6" s="20" t="s">
        <v>40</v>
      </c>
      <c r="D6" s="109" t="s">
        <v>369</v>
      </c>
      <c r="E6" s="19">
        <v>46539</v>
      </c>
      <c r="F6" s="64" t="s">
        <v>280</v>
      </c>
      <c r="G6" s="19">
        <v>46539</v>
      </c>
      <c r="H6" s="19" t="s">
        <v>337</v>
      </c>
      <c r="I6" s="81">
        <v>1100</v>
      </c>
    </row>
    <row r="7" spans="1:9" s="47" customFormat="1" x14ac:dyDescent="0.3">
      <c r="A7" s="17" t="s">
        <v>279</v>
      </c>
      <c r="B7" s="23" t="s">
        <v>42</v>
      </c>
      <c r="C7" s="20" t="s">
        <v>40</v>
      </c>
      <c r="D7" s="109" t="s">
        <v>369</v>
      </c>
      <c r="E7" s="19">
        <v>46539</v>
      </c>
      <c r="F7" s="64" t="s">
        <v>281</v>
      </c>
      <c r="G7" s="19">
        <v>46539</v>
      </c>
      <c r="H7" s="19" t="s">
        <v>337</v>
      </c>
      <c r="I7" s="81">
        <v>1100</v>
      </c>
    </row>
  </sheetData>
  <autoFilter ref="A1:G5" xr:uid="{00000000-0001-0000-0000-000000000000}">
    <sortState xmlns:xlrd2="http://schemas.microsoft.com/office/spreadsheetml/2017/richdata2" ref="A2:G4">
      <sortCondition ref="A2:A4"/>
    </sortState>
  </autoFilter>
  <conditionalFormatting sqref="E2:E7 G2:G7">
    <cfRule type="cellIs" dxfId="7" priority="1" operator="greaterThan">
      <formula>46189</formula>
    </cfRule>
  </conditionalFormatting>
  <pageMargins left="0.25" right="0.25" top="0.75" bottom="0.75" header="0.3" footer="0.3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8718-23B6-4B97-BF21-72C796C85D0E}">
  <sheetPr codeName="Planilha11">
    <pageSetUpPr fitToPage="1"/>
  </sheetPr>
  <dimension ref="A1:J4"/>
  <sheetViews>
    <sheetView workbookViewId="0">
      <selection activeCell="E2" sqref="E2"/>
    </sheetView>
  </sheetViews>
  <sheetFormatPr defaultColWidth="9.109375" defaultRowHeight="15.6" x14ac:dyDescent="0.3"/>
  <cols>
    <col min="1" max="1" width="25.88671875" style="1" bestFit="1" customWidth="1"/>
    <col min="2" max="2" width="17.6640625" style="1" bestFit="1" customWidth="1"/>
    <col min="3" max="3" width="14" style="6" bestFit="1" customWidth="1"/>
    <col min="4" max="4" width="15.109375" style="6" customWidth="1"/>
    <col min="5" max="5" width="20.6640625" style="10" customWidth="1"/>
    <col min="6" max="6" width="20.5546875" style="10" customWidth="1"/>
    <col min="7" max="9" width="20.6640625" style="12" customWidth="1"/>
    <col min="10" max="10" width="30.44140625" style="2" bestFit="1" customWidth="1"/>
    <col min="11" max="16384" width="9.109375" style="2"/>
  </cols>
  <sheetData>
    <row r="1" spans="1:10" s="28" customFormat="1" ht="36" x14ac:dyDescent="0.3">
      <c r="A1" s="26" t="s">
        <v>47</v>
      </c>
      <c r="B1" s="27" t="s">
        <v>114</v>
      </c>
      <c r="C1" s="26" t="s">
        <v>38</v>
      </c>
      <c r="D1" s="27" t="s">
        <v>115</v>
      </c>
      <c r="E1" s="26" t="s">
        <v>46</v>
      </c>
      <c r="F1" s="26" t="s">
        <v>45</v>
      </c>
      <c r="G1" s="26" t="s">
        <v>46</v>
      </c>
      <c r="H1" s="26" t="s">
        <v>307</v>
      </c>
      <c r="I1" s="26" t="s">
        <v>308</v>
      </c>
    </row>
    <row r="2" spans="1:10" s="47" customFormat="1" x14ac:dyDescent="0.3">
      <c r="A2" s="17" t="s">
        <v>66</v>
      </c>
      <c r="B2" s="23" t="s">
        <v>41</v>
      </c>
      <c r="C2" s="20" t="s">
        <v>40</v>
      </c>
      <c r="D2" s="80" t="s">
        <v>369</v>
      </c>
      <c r="E2" s="19">
        <v>46539</v>
      </c>
      <c r="F2" s="15" t="s">
        <v>306</v>
      </c>
      <c r="G2" s="19">
        <v>46539</v>
      </c>
      <c r="H2" s="19" t="s">
        <v>338</v>
      </c>
      <c r="I2" s="81">
        <v>6500</v>
      </c>
    </row>
    <row r="3" spans="1:10" x14ac:dyDescent="0.3">
      <c r="A3" s="57" t="s">
        <v>87</v>
      </c>
      <c r="B3" s="58" t="s">
        <v>41</v>
      </c>
      <c r="C3" s="59" t="s">
        <v>40</v>
      </c>
      <c r="D3" s="59" t="s">
        <v>40</v>
      </c>
      <c r="E3" s="60">
        <v>45829</v>
      </c>
      <c r="F3" s="61" t="s">
        <v>68</v>
      </c>
      <c r="G3" s="60">
        <v>45829</v>
      </c>
      <c r="H3" s="19" t="s">
        <v>338</v>
      </c>
      <c r="I3" s="81">
        <v>5500</v>
      </c>
      <c r="J3" s="39" t="s">
        <v>198</v>
      </c>
    </row>
    <row r="4" spans="1:10" x14ac:dyDescent="0.3">
      <c r="A4" s="3" t="s">
        <v>88</v>
      </c>
      <c r="B4" s="23" t="s">
        <v>41</v>
      </c>
      <c r="C4" s="40" t="s">
        <v>41</v>
      </c>
      <c r="D4" s="40" t="s">
        <v>44</v>
      </c>
      <c r="E4" s="19">
        <v>46438</v>
      </c>
      <c r="F4" s="95" t="s">
        <v>207</v>
      </c>
      <c r="G4" s="19">
        <v>46438</v>
      </c>
      <c r="H4" s="19" t="s">
        <v>339</v>
      </c>
      <c r="I4" s="81">
        <v>7200</v>
      </c>
      <c r="J4" s="48" t="s">
        <v>377</v>
      </c>
    </row>
  </sheetData>
  <autoFilter ref="A1:G3" xr:uid="{00000000-0001-0000-0000-000000000000}">
    <sortState xmlns:xlrd2="http://schemas.microsoft.com/office/spreadsheetml/2017/richdata2" ref="A2:G3">
      <sortCondition ref="A2:A3"/>
    </sortState>
  </autoFilter>
  <phoneticPr fontId="9" type="noConversion"/>
  <conditionalFormatting sqref="E2 G2">
    <cfRule type="cellIs" dxfId="6" priority="1" operator="greaterThan">
      <formula>46189</formula>
    </cfRule>
  </conditionalFormatting>
  <conditionalFormatting sqref="E4">
    <cfRule type="cellIs" dxfId="5" priority="3" operator="greaterThan">
      <formula>46189</formula>
    </cfRule>
  </conditionalFormatting>
  <conditionalFormatting sqref="G4">
    <cfRule type="cellIs" dxfId="4" priority="2" operator="greaterThan">
      <formula>46189</formula>
    </cfRule>
  </conditionalFormatting>
  <pageMargins left="0.25" right="0.25" top="0.75" bottom="0.75" header="0.3" footer="0.3"/>
  <pageSetup paperSize="9" scale="9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FFEF-A09D-4B6E-B04C-973551CA0423}">
  <sheetPr codeName="Planilha12">
    <pageSetUpPr fitToPage="1"/>
  </sheetPr>
  <dimension ref="A1:J19"/>
  <sheetViews>
    <sheetView workbookViewId="0">
      <selection activeCell="G12" sqref="G12"/>
    </sheetView>
  </sheetViews>
  <sheetFormatPr defaultColWidth="9.109375" defaultRowHeight="15.6" x14ac:dyDescent="0.3"/>
  <cols>
    <col min="1" max="1" width="25.88671875" style="1" bestFit="1" customWidth="1"/>
    <col min="2" max="2" width="17.109375" style="1" customWidth="1"/>
    <col min="3" max="3" width="14" style="6" bestFit="1" customWidth="1"/>
    <col min="4" max="4" width="15.109375" style="6" customWidth="1"/>
    <col min="5" max="5" width="20.6640625" style="10" customWidth="1"/>
    <col min="6" max="6" width="20.5546875" style="10" customWidth="1"/>
    <col min="7" max="9" width="20.6640625" style="12" customWidth="1"/>
    <col min="10" max="10" width="30.88671875" style="2" customWidth="1"/>
    <col min="11" max="16384" width="9.109375" style="2"/>
  </cols>
  <sheetData>
    <row r="1" spans="1:10" s="28" customFormat="1" ht="36" x14ac:dyDescent="0.3">
      <c r="A1" s="26" t="s">
        <v>47</v>
      </c>
      <c r="B1" s="27" t="s">
        <v>114</v>
      </c>
      <c r="C1" s="26" t="s">
        <v>38</v>
      </c>
      <c r="D1" s="27" t="s">
        <v>115</v>
      </c>
      <c r="E1" s="26" t="s">
        <v>46</v>
      </c>
      <c r="F1" s="26" t="s">
        <v>45</v>
      </c>
      <c r="G1" s="26" t="s">
        <v>46</v>
      </c>
      <c r="H1" s="26" t="s">
        <v>307</v>
      </c>
      <c r="I1" s="26" t="s">
        <v>308</v>
      </c>
    </row>
    <row r="2" spans="1:10" x14ac:dyDescent="0.3">
      <c r="A2" s="17" t="s">
        <v>91</v>
      </c>
      <c r="B2" s="23" t="s">
        <v>83</v>
      </c>
      <c r="C2" s="20" t="s">
        <v>40</v>
      </c>
      <c r="D2" s="20" t="s">
        <v>40</v>
      </c>
      <c r="E2" s="19" t="s">
        <v>234</v>
      </c>
      <c r="F2" s="19" t="s">
        <v>234</v>
      </c>
      <c r="G2" s="19" t="s">
        <v>234</v>
      </c>
      <c r="H2" s="19" t="s">
        <v>319</v>
      </c>
      <c r="I2" s="81">
        <v>6000</v>
      </c>
      <c r="J2" s="2" t="s">
        <v>340</v>
      </c>
    </row>
    <row r="3" spans="1:10" x14ac:dyDescent="0.3">
      <c r="A3" s="17" t="s">
        <v>90</v>
      </c>
      <c r="B3" s="23" t="s">
        <v>83</v>
      </c>
      <c r="C3" s="20" t="s">
        <v>40</v>
      </c>
      <c r="D3" s="20" t="s">
        <v>40</v>
      </c>
      <c r="E3" s="19" t="s">
        <v>234</v>
      </c>
      <c r="F3" s="19" t="s">
        <v>234</v>
      </c>
      <c r="G3" s="19" t="s">
        <v>234</v>
      </c>
      <c r="H3" s="19" t="s">
        <v>319</v>
      </c>
      <c r="I3" s="81">
        <v>6000</v>
      </c>
      <c r="J3" s="2" t="s">
        <v>340</v>
      </c>
    </row>
    <row r="4" spans="1:10" s="48" customFormat="1" x14ac:dyDescent="0.3">
      <c r="A4" s="17" t="s">
        <v>226</v>
      </c>
      <c r="B4" s="23" t="s">
        <v>41</v>
      </c>
      <c r="C4" s="20" t="s">
        <v>40</v>
      </c>
      <c r="D4" s="117" t="s">
        <v>386</v>
      </c>
      <c r="E4" s="19">
        <v>46477</v>
      </c>
      <c r="F4" s="15" t="s">
        <v>346</v>
      </c>
      <c r="G4" s="19">
        <v>46477</v>
      </c>
      <c r="H4" s="19" t="s">
        <v>341</v>
      </c>
      <c r="I4" s="81">
        <v>2000</v>
      </c>
      <c r="J4" s="25" t="s">
        <v>216</v>
      </c>
    </row>
    <row r="5" spans="1:10" s="48" customFormat="1" x14ac:dyDescent="0.3">
      <c r="A5" s="17" t="s">
        <v>227</v>
      </c>
      <c r="B5" s="23" t="s">
        <v>41</v>
      </c>
      <c r="C5" s="20" t="s">
        <v>40</v>
      </c>
      <c r="D5" s="117" t="s">
        <v>386</v>
      </c>
      <c r="E5" s="19">
        <v>46477</v>
      </c>
      <c r="F5" s="15" t="s">
        <v>347</v>
      </c>
      <c r="G5" s="19">
        <v>46477</v>
      </c>
      <c r="H5" s="19" t="s">
        <v>341</v>
      </c>
      <c r="I5" s="81">
        <v>2000</v>
      </c>
      <c r="J5" s="25" t="s">
        <v>216</v>
      </c>
    </row>
    <row r="6" spans="1:10" s="48" customFormat="1" x14ac:dyDescent="0.3">
      <c r="A6" s="17" t="s">
        <v>228</v>
      </c>
      <c r="B6" s="23" t="s">
        <v>41</v>
      </c>
      <c r="C6" s="20" t="s">
        <v>40</v>
      </c>
      <c r="D6" s="117" t="s">
        <v>386</v>
      </c>
      <c r="E6" s="19">
        <v>46477</v>
      </c>
      <c r="F6" s="15" t="s">
        <v>348</v>
      </c>
      <c r="G6" s="19">
        <v>46477</v>
      </c>
      <c r="H6" s="19" t="s">
        <v>341</v>
      </c>
      <c r="I6" s="81">
        <v>2000</v>
      </c>
      <c r="J6" s="25" t="s">
        <v>216</v>
      </c>
    </row>
    <row r="7" spans="1:10" s="48" customFormat="1" x14ac:dyDescent="0.3">
      <c r="A7" s="17" t="s">
        <v>229</v>
      </c>
      <c r="B7" s="23" t="s">
        <v>41</v>
      </c>
      <c r="C7" s="20" t="s">
        <v>40</v>
      </c>
      <c r="D7" s="117" t="s">
        <v>386</v>
      </c>
      <c r="E7" s="19">
        <v>46477</v>
      </c>
      <c r="F7" s="15" t="s">
        <v>349</v>
      </c>
      <c r="G7" s="19">
        <v>46477</v>
      </c>
      <c r="H7" s="19" t="s">
        <v>341</v>
      </c>
      <c r="I7" s="81">
        <v>2000</v>
      </c>
      <c r="J7" s="25" t="s">
        <v>216</v>
      </c>
    </row>
    <row r="8" spans="1:10" x14ac:dyDescent="0.3">
      <c r="A8" s="17"/>
      <c r="B8" s="17"/>
      <c r="C8" s="24"/>
      <c r="D8" s="24"/>
      <c r="E8" s="19"/>
      <c r="F8" s="15"/>
      <c r="G8" s="19"/>
      <c r="H8" s="19"/>
      <c r="I8" s="81"/>
    </row>
    <row r="12" spans="1:10" x14ac:dyDescent="0.3">
      <c r="I12" s="89"/>
    </row>
    <row r="13" spans="1:10" x14ac:dyDescent="0.3">
      <c r="I13" s="89"/>
    </row>
    <row r="14" spans="1:10" x14ac:dyDescent="0.3">
      <c r="I14" s="89"/>
    </row>
    <row r="15" spans="1:10" x14ac:dyDescent="0.3">
      <c r="I15" s="89"/>
    </row>
    <row r="16" spans="1:10" x14ac:dyDescent="0.3">
      <c r="I16" s="89"/>
    </row>
    <row r="17" spans="9:9" x14ac:dyDescent="0.3">
      <c r="I17" s="89"/>
    </row>
    <row r="18" spans="9:9" x14ac:dyDescent="0.3">
      <c r="I18" s="86"/>
    </row>
    <row r="19" spans="9:9" x14ac:dyDescent="0.3">
      <c r="I19" s="86"/>
    </row>
  </sheetData>
  <autoFilter ref="A1:G3" xr:uid="{00000000-0001-0000-0000-000000000000}">
    <sortState xmlns:xlrd2="http://schemas.microsoft.com/office/spreadsheetml/2017/richdata2" ref="A2:G3">
      <sortCondition ref="A2:A3"/>
    </sortState>
  </autoFilter>
  <phoneticPr fontId="5" type="noConversion"/>
  <conditionalFormatting sqref="E4:E7">
    <cfRule type="cellIs" dxfId="3" priority="2" operator="greaterThan">
      <formula>46189</formula>
    </cfRule>
  </conditionalFormatting>
  <conditionalFormatting sqref="G4:G7">
    <cfRule type="cellIs" dxfId="2" priority="1" operator="greaterThan">
      <formula>46189</formula>
    </cfRule>
  </conditionalFormatting>
  <pageMargins left="0.25" right="0.25" top="0.75" bottom="0.75" header="0.3" footer="0.3"/>
  <pageSetup paperSize="9" scale="71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7DBF-77FD-4458-BF00-1BD4F19785F4}">
  <sheetPr codeName="Planilha13">
    <pageSetUpPr fitToPage="1"/>
  </sheetPr>
  <dimension ref="A1:J9"/>
  <sheetViews>
    <sheetView workbookViewId="0">
      <selection activeCell="F7" sqref="F7"/>
    </sheetView>
  </sheetViews>
  <sheetFormatPr defaultColWidth="9.109375" defaultRowHeight="15.6" x14ac:dyDescent="0.3"/>
  <cols>
    <col min="1" max="1" width="33.33203125" style="1" customWidth="1"/>
    <col min="2" max="2" width="17.109375" style="1" customWidth="1"/>
    <col min="3" max="4" width="18.109375" style="6" bestFit="1" customWidth="1"/>
    <col min="5" max="5" width="20.6640625" style="10" customWidth="1"/>
    <col min="6" max="6" width="20.5546875" style="10" customWidth="1"/>
    <col min="7" max="7" width="20.6640625" style="12" customWidth="1"/>
    <col min="8" max="8" width="20.6640625" style="2" customWidth="1"/>
    <col min="9" max="9" width="10.33203125" style="2" customWidth="1"/>
    <col min="10" max="10" width="27.44140625" style="2" bestFit="1" customWidth="1"/>
    <col min="11" max="16384" width="9.109375" style="2"/>
  </cols>
  <sheetData>
    <row r="1" spans="1:10" s="28" customFormat="1" ht="36" x14ac:dyDescent="0.3">
      <c r="A1" s="26" t="s">
        <v>47</v>
      </c>
      <c r="B1" s="27" t="s">
        <v>114</v>
      </c>
      <c r="C1" s="26" t="s">
        <v>38</v>
      </c>
      <c r="D1" s="27" t="s">
        <v>115</v>
      </c>
      <c r="E1" s="26" t="s">
        <v>46</v>
      </c>
      <c r="F1" s="26" t="s">
        <v>45</v>
      </c>
      <c r="G1" s="26" t="s">
        <v>46</v>
      </c>
      <c r="H1" s="26" t="s">
        <v>307</v>
      </c>
      <c r="I1" s="26" t="s">
        <v>308</v>
      </c>
    </row>
    <row r="2" spans="1:10" x14ac:dyDescent="0.3">
      <c r="A2" s="17" t="s">
        <v>123</v>
      </c>
      <c r="B2" s="23" t="s">
        <v>41</v>
      </c>
      <c r="C2" s="20" t="s">
        <v>40</v>
      </c>
      <c r="D2" s="20" t="s">
        <v>40</v>
      </c>
      <c r="E2" s="38" t="s">
        <v>62</v>
      </c>
      <c r="F2" s="38" t="s">
        <v>62</v>
      </c>
      <c r="G2" s="38" t="s">
        <v>62</v>
      </c>
      <c r="H2" s="19" t="s">
        <v>345</v>
      </c>
      <c r="I2" s="81">
        <v>1000</v>
      </c>
    </row>
    <row r="3" spans="1:10" x14ac:dyDescent="0.3">
      <c r="A3" s="17" t="s">
        <v>124</v>
      </c>
      <c r="B3" s="23" t="s">
        <v>42</v>
      </c>
      <c r="C3" s="20" t="s">
        <v>40</v>
      </c>
      <c r="D3" s="20" t="s">
        <v>40</v>
      </c>
      <c r="E3" s="38" t="s">
        <v>62</v>
      </c>
      <c r="F3" s="38" t="s">
        <v>62</v>
      </c>
      <c r="G3" s="38" t="s">
        <v>62</v>
      </c>
      <c r="H3" s="19"/>
      <c r="I3" s="81"/>
    </row>
    <row r="4" spans="1:10" x14ac:dyDescent="0.3">
      <c r="A4" s="17" t="s">
        <v>128</v>
      </c>
      <c r="B4" s="23" t="s">
        <v>40</v>
      </c>
      <c r="C4" s="20" t="s">
        <v>40</v>
      </c>
      <c r="D4" s="20" t="s">
        <v>40</v>
      </c>
      <c r="E4" s="19">
        <v>45507</v>
      </c>
      <c r="F4" s="32" t="s">
        <v>129</v>
      </c>
      <c r="G4" s="19">
        <v>45507</v>
      </c>
      <c r="H4" s="19"/>
      <c r="I4" s="81"/>
    </row>
    <row r="5" spans="1:10" x14ac:dyDescent="0.3">
      <c r="A5" s="17" t="s">
        <v>151</v>
      </c>
      <c r="B5" s="23" t="s">
        <v>40</v>
      </c>
      <c r="C5" s="20" t="s">
        <v>40</v>
      </c>
      <c r="D5" s="20" t="s">
        <v>40</v>
      </c>
      <c r="E5" s="38" t="s">
        <v>62</v>
      </c>
      <c r="F5" s="38" t="s">
        <v>62</v>
      </c>
      <c r="G5" s="38" t="s">
        <v>62</v>
      </c>
      <c r="H5" s="19"/>
      <c r="I5" s="81"/>
    </row>
    <row r="6" spans="1:10" s="47" customFormat="1" x14ac:dyDescent="0.3">
      <c r="A6" s="17" t="s">
        <v>181</v>
      </c>
      <c r="B6" s="23" t="s">
        <v>42</v>
      </c>
      <c r="C6" s="20" t="s">
        <v>40</v>
      </c>
      <c r="D6" s="109" t="s">
        <v>369</v>
      </c>
      <c r="E6" s="19">
        <v>46539</v>
      </c>
      <c r="F6" s="15" t="s">
        <v>52</v>
      </c>
      <c r="G6" s="19">
        <v>46539</v>
      </c>
      <c r="H6" s="19" t="s">
        <v>342</v>
      </c>
      <c r="I6" s="81">
        <v>1000</v>
      </c>
    </row>
    <row r="7" spans="1:10" x14ac:dyDescent="0.3">
      <c r="A7" s="3" t="s">
        <v>187</v>
      </c>
      <c r="B7" s="23" t="s">
        <v>40</v>
      </c>
      <c r="C7" s="43" t="s">
        <v>119</v>
      </c>
      <c r="D7" s="43" t="s">
        <v>119</v>
      </c>
      <c r="E7" s="9">
        <v>46430</v>
      </c>
      <c r="F7" s="32" t="s">
        <v>235</v>
      </c>
      <c r="G7" s="9">
        <v>46430</v>
      </c>
      <c r="H7" s="19" t="s">
        <v>344</v>
      </c>
      <c r="I7" s="81">
        <v>2000</v>
      </c>
    </row>
    <row r="8" spans="1:10" x14ac:dyDescent="0.3">
      <c r="A8" s="17" t="s">
        <v>249</v>
      </c>
      <c r="B8" s="5" t="s">
        <v>232</v>
      </c>
      <c r="C8" s="20" t="s">
        <v>40</v>
      </c>
      <c r="D8" s="20" t="s">
        <v>40</v>
      </c>
      <c r="E8" s="19">
        <v>46429</v>
      </c>
      <c r="F8" s="32" t="s">
        <v>233</v>
      </c>
      <c r="G8" s="19">
        <v>46429</v>
      </c>
      <c r="H8" s="19" t="s">
        <v>343</v>
      </c>
      <c r="I8" s="81">
        <v>11000</v>
      </c>
      <c r="J8" s="25" t="s">
        <v>216</v>
      </c>
    </row>
    <row r="9" spans="1:10" x14ac:dyDescent="0.3">
      <c r="A9" s="3" t="s">
        <v>397</v>
      </c>
      <c r="B9" s="23" t="s">
        <v>40</v>
      </c>
      <c r="C9" s="20" t="s">
        <v>40</v>
      </c>
      <c r="D9" s="80" t="s">
        <v>152</v>
      </c>
      <c r="E9" s="9">
        <v>46470</v>
      </c>
      <c r="F9" s="32" t="s">
        <v>381</v>
      </c>
      <c r="G9" s="9">
        <v>46470</v>
      </c>
      <c r="H9" s="19" t="s">
        <v>382</v>
      </c>
      <c r="I9" s="81">
        <v>140</v>
      </c>
    </row>
  </sheetData>
  <autoFilter ref="A1:G9" xr:uid="{00000000-0001-0000-0000-000000000000}">
    <sortState xmlns:xlrd2="http://schemas.microsoft.com/office/spreadsheetml/2017/richdata2" ref="A2:G3">
      <sortCondition ref="A2:A3"/>
    </sortState>
  </autoFilter>
  <conditionalFormatting sqref="E6 G6">
    <cfRule type="cellIs" dxfId="1" priority="1" operator="greaterThan">
      <formula>46189</formula>
    </cfRule>
  </conditionalFormatting>
  <conditionalFormatting sqref="E8 G8">
    <cfRule type="cellIs" dxfId="0" priority="2" operator="greaterThan">
      <formula>46189</formula>
    </cfRule>
  </conditionalFormatting>
  <pageMargins left="0.25" right="0.25" top="0.75" bottom="0.75" header="0.3" footer="0.3"/>
  <pageSetup paperSize="9" scale="87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8624-685D-4E81-A746-5BEF30D92707}">
  <sheetPr codeName="Planilha14" filterMode="1">
    <pageSetUpPr fitToPage="1"/>
  </sheetPr>
  <dimension ref="A1:F163"/>
  <sheetViews>
    <sheetView workbookViewId="0">
      <selection activeCell="E153" sqref="E153"/>
    </sheetView>
  </sheetViews>
  <sheetFormatPr defaultColWidth="9.109375" defaultRowHeight="15.9" customHeight="1" x14ac:dyDescent="0.3"/>
  <cols>
    <col min="1" max="1" width="25.88671875" style="1" bestFit="1" customWidth="1"/>
    <col min="2" max="2" width="18.6640625" style="6" customWidth="1"/>
    <col min="3" max="3" width="18.6640625" style="6" bestFit="1" customWidth="1"/>
    <col min="4" max="4" width="17.44140625" style="12" bestFit="1" customWidth="1"/>
    <col min="5" max="5" width="19.33203125" style="10" customWidth="1"/>
    <col min="6" max="6" width="17.44140625" style="12" bestFit="1" customWidth="1"/>
    <col min="7" max="16384" width="9.109375" style="2"/>
  </cols>
  <sheetData>
    <row r="1" spans="1:6" s="4" customFormat="1" ht="15.9" customHeight="1" x14ac:dyDescent="0.35">
      <c r="A1" s="8" t="s">
        <v>47</v>
      </c>
      <c r="B1" s="8" t="s">
        <v>39</v>
      </c>
      <c r="C1" s="8" t="s">
        <v>38</v>
      </c>
      <c r="D1" s="16" t="s">
        <v>46</v>
      </c>
      <c r="E1" s="8" t="s">
        <v>45</v>
      </c>
      <c r="F1" s="8" t="s">
        <v>46</v>
      </c>
    </row>
    <row r="2" spans="1:6" ht="15.9" hidden="1" customHeight="1" x14ac:dyDescent="0.3">
      <c r="A2" s="3" t="str">
        <f>AFTECOOLLER!A2</f>
        <v>CME-AFTE.001</v>
      </c>
      <c r="B2" s="13" t="str">
        <f>AFTECOOLLER!B2</f>
        <v>SBM</v>
      </c>
      <c r="C2" s="13" t="str">
        <f>AFTECOOLLER!C2</f>
        <v>BASE</v>
      </c>
      <c r="D2" s="11">
        <f>AFTECOOLLER!E2</f>
        <v>46428</v>
      </c>
      <c r="E2" s="13" t="str">
        <f>AFTECOOLLER!F2</f>
        <v>BC-2303862</v>
      </c>
      <c r="F2" s="11">
        <f>AFTECOOLLER!G2</f>
        <v>46428</v>
      </c>
    </row>
    <row r="3" spans="1:6" ht="15.9" hidden="1" customHeight="1" x14ac:dyDescent="0.3">
      <c r="A3" s="3" t="str">
        <f>AFTECOOLLER!A3</f>
        <v>CME-AFTE.002</v>
      </c>
      <c r="B3" s="13" t="str">
        <f>AFTECOOLLER!B3</f>
        <v>MODEC</v>
      </c>
      <c r="C3" s="13" t="str">
        <f>AFTECOOLLER!C3</f>
        <v>BASE</v>
      </c>
      <c r="D3" s="11">
        <f>AFTECOOLLER!E3</f>
        <v>46539</v>
      </c>
      <c r="E3" s="13" t="str">
        <f>AFTECOOLLER!F3</f>
        <v>BC-2526478</v>
      </c>
      <c r="F3" s="11">
        <f>AFTECOOLLER!G3</f>
        <v>46539</v>
      </c>
    </row>
    <row r="4" spans="1:6" ht="15.9" hidden="1" customHeight="1" x14ac:dyDescent="0.3">
      <c r="A4" s="3" t="str">
        <f>AFTECOOLLER!A4</f>
        <v>CME-AFTE.003</v>
      </c>
      <c r="B4" s="13" t="str">
        <f>AFTECOOLLER!B4</f>
        <v>SBM</v>
      </c>
      <c r="C4" s="13" t="str">
        <f>AFTECOOLLER!C4</f>
        <v>BASE</v>
      </c>
      <c r="D4" s="11">
        <f>AFTECOOLLER!E4</f>
        <v>46463</v>
      </c>
      <c r="E4" s="13" t="e">
        <f>AFTECOOLLER!#REF!</f>
        <v>#REF!</v>
      </c>
      <c r="F4" s="11">
        <f>AFTECOOLLER!G4</f>
        <v>46463</v>
      </c>
    </row>
    <row r="5" spans="1:6" ht="15.9" hidden="1" customHeight="1" x14ac:dyDescent="0.3">
      <c r="A5" s="3" t="str">
        <f>AFTECOOLLER!A5</f>
        <v>CME-AFTE.004</v>
      </c>
      <c r="B5" s="13" t="str">
        <f>AFTECOOLLER!B5</f>
        <v>SBM</v>
      </c>
      <c r="C5" s="13" t="str">
        <f>AFTECOOLLER!C5</f>
        <v>BASE</v>
      </c>
      <c r="D5" s="11">
        <f>AFTECOOLLER!E5</f>
        <v>46539</v>
      </c>
      <c r="E5" s="13" t="str">
        <f>AFTECOOLLER!F5</f>
        <v>BC-2526480</v>
      </c>
      <c r="F5" s="11">
        <f>AFTECOOLLER!G5</f>
        <v>46539</v>
      </c>
    </row>
    <row r="6" spans="1:6" ht="15.9" hidden="1" customHeight="1" x14ac:dyDescent="0.3">
      <c r="A6" s="3" t="str">
        <f>AFTECOOLLER!A6</f>
        <v>CME-AFTE.005</v>
      </c>
      <c r="B6" s="13" t="str">
        <f>AFTECOOLLER!B6</f>
        <v>BW ENERGY</v>
      </c>
      <c r="C6" s="13" t="str">
        <f>AFTECOOLLER!C6</f>
        <v>BASE</v>
      </c>
      <c r="D6" s="11">
        <f>AFTECOOLLER!E6</f>
        <v>46539</v>
      </c>
      <c r="E6" s="13" t="str">
        <f>AFTECOOLLER!F6</f>
        <v>BC-26038</v>
      </c>
      <c r="F6" s="11">
        <f>AFTECOOLLER!G6</f>
        <v>46539</v>
      </c>
    </row>
    <row r="7" spans="1:6" ht="15.9" hidden="1" customHeight="1" x14ac:dyDescent="0.3">
      <c r="A7" s="3" t="str">
        <f>AFTECOOLLER!A7</f>
        <v>CME-AFTE.006</v>
      </c>
      <c r="B7" s="13" t="str">
        <f>AFTECOOLLER!B7</f>
        <v>BW ENERGY</v>
      </c>
      <c r="C7" s="13" t="str">
        <f>AFTECOOLLER!C7</f>
        <v>BASE</v>
      </c>
      <c r="D7" s="11">
        <f>AFTECOOLLER!E7</f>
        <v>46428</v>
      </c>
      <c r="E7" s="13">
        <f>AFTECOOLLER!F7</f>
        <v>0</v>
      </c>
      <c r="F7" s="11">
        <f>AFTECOOLLER!G7</f>
        <v>0</v>
      </c>
    </row>
    <row r="8" spans="1:6" ht="15.9" hidden="1" customHeight="1" x14ac:dyDescent="0.3">
      <c r="A8" s="3" t="str">
        <f>AFTECOOLLER!A8</f>
        <v>CME-AFTE.007</v>
      </c>
      <c r="B8" s="13" t="str">
        <f>AFTECOOLLER!B8</f>
        <v>SBM</v>
      </c>
      <c r="C8" s="13" t="str">
        <f>AFTECOOLLER!C8</f>
        <v>BASE</v>
      </c>
      <c r="D8" s="11">
        <f>AFTECOOLLER!E8</f>
        <v>46539</v>
      </c>
      <c r="E8" s="13" t="str">
        <f>AFTECOOLLER!F8</f>
        <v>BC-2303860</v>
      </c>
      <c r="F8" s="11">
        <f>AFTECOOLLER!G8</f>
        <v>46539</v>
      </c>
    </row>
    <row r="9" spans="1:6" ht="15.9" hidden="1" customHeight="1" x14ac:dyDescent="0.3">
      <c r="A9" s="3" t="str">
        <f>AFTECOOLLER!A9</f>
        <v>CME-AFTE.008</v>
      </c>
      <c r="B9" s="13" t="str">
        <f>AFTECOOLLER!B9</f>
        <v>SBM</v>
      </c>
      <c r="C9" s="13" t="str">
        <f>AFTECOOLLER!C9</f>
        <v>BASE</v>
      </c>
      <c r="D9" s="11">
        <f>AFTECOOLLER!E9</f>
        <v>46463</v>
      </c>
      <c r="E9" s="13" t="str">
        <f>AFTECOOLLER!F9</f>
        <v>BC-2303859</v>
      </c>
      <c r="F9" s="11">
        <f>AFTECOOLLER!G9</f>
        <v>46463</v>
      </c>
    </row>
    <row r="10" spans="1:6" ht="15.9" hidden="1" customHeight="1" x14ac:dyDescent="0.3">
      <c r="A10" s="3" t="str">
        <f>AFTECOOLLER!A10</f>
        <v>CME-AFTE.009</v>
      </c>
      <c r="B10" s="13" t="str">
        <f>AFTECOOLLER!B10</f>
        <v>SBM</v>
      </c>
      <c r="C10" s="13" t="str">
        <f>AFTECOOLLER!C10</f>
        <v>SBM</v>
      </c>
      <c r="D10" s="11">
        <f>AFTECOOLLER!E10</f>
        <v>46437</v>
      </c>
      <c r="E10" s="13">
        <f>AFTECOOLLER!F10</f>
        <v>3749</v>
      </c>
      <c r="F10" s="11">
        <f>AFTECOOLLER!G10</f>
        <v>46437</v>
      </c>
    </row>
    <row r="11" spans="1:6" ht="15.9" hidden="1" customHeight="1" x14ac:dyDescent="0.3">
      <c r="A11" s="3" t="str">
        <f>BOOSTER!A2</f>
        <v>CME-BDN.001</v>
      </c>
      <c r="B11" s="13" t="str">
        <f>BOOSTER!B2</f>
        <v>SCHLUMBERGER</v>
      </c>
      <c r="C11" s="13" t="str">
        <f>BOOSTER!C2</f>
        <v>BASE</v>
      </c>
      <c r="D11" s="11">
        <f>BOOSTER!E2</f>
        <v>46476</v>
      </c>
      <c r="E11" s="13">
        <f>AFTECOOLLER!F11</f>
        <v>1697</v>
      </c>
      <c r="F11" s="11">
        <f>BOOSTER!G2</f>
        <v>46476</v>
      </c>
    </row>
    <row r="12" spans="1:6" ht="15.9" hidden="1" customHeight="1" x14ac:dyDescent="0.3">
      <c r="A12" s="3" t="str">
        <f>BOOSTER!A3</f>
        <v>CME-BDN.002</v>
      </c>
      <c r="B12" s="13" t="str">
        <f>BOOSTER!B3</f>
        <v>SBM</v>
      </c>
      <c r="C12" s="13" t="str">
        <f>BOOSTER!C3</f>
        <v>BASE</v>
      </c>
      <c r="D12" s="11">
        <f>BOOSTER!E3</f>
        <v>46476</v>
      </c>
      <c r="E12" s="13" t="str">
        <f>BOOSTER!F3</f>
        <v>BC-2526484</v>
      </c>
      <c r="F12" s="11">
        <f>BOOSTER!G3</f>
        <v>46476</v>
      </c>
    </row>
    <row r="13" spans="1:6" ht="15.9" hidden="1" customHeight="1" x14ac:dyDescent="0.3">
      <c r="A13" s="3" t="str">
        <f>BOOSTER!A4</f>
        <v>CME-BDN.003</v>
      </c>
      <c r="B13" s="13" t="str">
        <f>BOOSTER!B4</f>
        <v>SBM</v>
      </c>
      <c r="C13" s="13" t="str">
        <f>BOOSTER!C4</f>
        <v>CME</v>
      </c>
      <c r="D13" s="11">
        <f>BOOSTER!E4</f>
        <v>46511</v>
      </c>
      <c r="E13" s="13" t="str">
        <f>BOOSTER!F4</f>
        <v>BC-2526483</v>
      </c>
      <c r="F13" s="11">
        <f>BOOSTER!G4</f>
        <v>46511</v>
      </c>
    </row>
    <row r="14" spans="1:6" ht="15.9" hidden="1" customHeight="1" x14ac:dyDescent="0.3">
      <c r="A14" s="3" t="str">
        <f>BOOSTER!A5</f>
        <v>CME-BDN.004 (67190009)</v>
      </c>
      <c r="B14" s="13" t="str">
        <f>BOOSTER!B5</f>
        <v>HALLIBURTON</v>
      </c>
      <c r="C14" s="13" t="str">
        <f>BOOSTER!C5</f>
        <v>BASE</v>
      </c>
      <c r="D14" s="11">
        <f>BOOSTER!E5</f>
        <v>46476</v>
      </c>
      <c r="E14" s="13" t="str">
        <f>BOOSTER!F5</f>
        <v>BC-2412787</v>
      </c>
      <c r="F14" s="11">
        <f>BOOSTER!G5</f>
        <v>46476</v>
      </c>
    </row>
    <row r="15" spans="1:6" ht="15.9" hidden="1" customHeight="1" x14ac:dyDescent="0.3">
      <c r="A15" s="3" t="str">
        <f>BOOSTER!A6</f>
        <v>CME-BDN.005 (67190010)</v>
      </c>
      <c r="B15" s="13" t="str">
        <f>BOOSTER!B6</f>
        <v>SBM</v>
      </c>
      <c r="C15" s="13" t="str">
        <f>BOOSTER!C6</f>
        <v>BASE</v>
      </c>
      <c r="D15" s="11">
        <f>BOOSTER!E6</f>
        <v>46476</v>
      </c>
      <c r="E15" s="13" t="str">
        <f>BOOSTER!F6</f>
        <v>JF141001637</v>
      </c>
      <c r="F15" s="11">
        <f>BOOSTER!G6</f>
        <v>46476</v>
      </c>
    </row>
    <row r="16" spans="1:6" ht="15.6" hidden="1" x14ac:dyDescent="0.3">
      <c r="A16" s="3" t="e">
        <f>'BOMBA LIMPEZA QUIMICA'!#REF!</f>
        <v>#REF!</v>
      </c>
      <c r="B16" s="13" t="e">
        <f>'BOMBA LIMPEZA QUIMICA'!#REF!</f>
        <v>#REF!</v>
      </c>
      <c r="C16" s="13" t="e">
        <f>'BOMBA LIMPEZA QUIMICA'!#REF!</f>
        <v>#REF!</v>
      </c>
      <c r="D16" s="11" t="e">
        <f>'BOMBA LIMPEZA QUIMICA'!#REF!</f>
        <v>#REF!</v>
      </c>
      <c r="E16" s="13" t="e">
        <f>'BOMBA LIMPEZA QUIMICA'!#REF!</f>
        <v>#REF!</v>
      </c>
      <c r="F16" s="11" t="e">
        <f>'BOMBA LIMPEZA QUIMICA'!#REF!</f>
        <v>#REF!</v>
      </c>
    </row>
    <row r="17" spans="1:6" ht="15.6" hidden="1" x14ac:dyDescent="0.3">
      <c r="A17" s="3" t="e">
        <f>'BOMBA LIMPEZA QUIMICA'!#REF!</f>
        <v>#REF!</v>
      </c>
      <c r="B17" s="13" t="e">
        <f>'BOMBA LIMPEZA QUIMICA'!#REF!</f>
        <v>#REF!</v>
      </c>
      <c r="C17" s="13" t="e">
        <f>'BOMBA LIMPEZA QUIMICA'!#REF!</f>
        <v>#REF!</v>
      </c>
      <c r="D17" s="11" t="e">
        <f>'BOMBA LIMPEZA QUIMICA'!#REF!</f>
        <v>#REF!</v>
      </c>
      <c r="E17" s="13" t="e">
        <f>'BOMBA LIMPEZA QUIMICA'!#REF!</f>
        <v>#REF!</v>
      </c>
      <c r="F17" s="11" t="e">
        <f>'BOMBA LIMPEZA QUIMICA'!#REF!</f>
        <v>#REF!</v>
      </c>
    </row>
    <row r="18" spans="1:6" ht="15.6" hidden="1" x14ac:dyDescent="0.3">
      <c r="A18" s="3" t="str">
        <f>BOOSTER!A7</f>
        <v>CME-BDN.006</v>
      </c>
      <c r="B18" s="13" t="str">
        <f>BOOSTER!C7</f>
        <v>BASE</v>
      </c>
      <c r="C18" s="13" t="str">
        <f>BOOSTER!C7</f>
        <v>BASE</v>
      </c>
      <c r="D18" s="11">
        <f>BOOSTER!E7</f>
        <v>46476</v>
      </c>
      <c r="E18" s="13">
        <f>BOOSTER!F9</f>
        <v>0</v>
      </c>
      <c r="F18" s="11">
        <f>BOOSTER!G7</f>
        <v>46476</v>
      </c>
    </row>
    <row r="19" spans="1:6" ht="15.6" hidden="1" x14ac:dyDescent="0.3">
      <c r="A19" s="3" t="str">
        <f>BOOSTER!A8</f>
        <v>CME-BDN.007</v>
      </c>
      <c r="B19" s="13" t="str">
        <f>BOOSTER!C8</f>
        <v>BASE</v>
      </c>
      <c r="C19" s="13" t="str">
        <f>BOOSTER!C8</f>
        <v>BASE</v>
      </c>
      <c r="D19" s="11">
        <f>BOOSTER!E8</f>
        <v>46477</v>
      </c>
      <c r="E19" s="13">
        <f>BOOSTER!F10</f>
        <v>0</v>
      </c>
      <c r="F19" s="11">
        <f>BOOSTER!G8</f>
        <v>46477</v>
      </c>
    </row>
    <row r="20" spans="1:6" ht="15.9" hidden="1" customHeight="1" x14ac:dyDescent="0.3">
      <c r="A20" s="3" t="str">
        <f>'BOMBA LIMPEZA QUIMICA'!A2</f>
        <v>CME-BLQE.003</v>
      </c>
      <c r="B20" s="13" t="str">
        <f>'BOMBA LIMPEZA QUIMICA'!C2</f>
        <v>BASE</v>
      </c>
      <c r="C20" s="13" t="str">
        <f>'BOMBA LIMPEZA QUIMICA'!D2</f>
        <v>BASE</v>
      </c>
      <c r="D20" s="11">
        <f>'BOMBA LIMPEZA QUIMICA'!E2</f>
        <v>45982</v>
      </c>
      <c r="E20" s="14" t="str">
        <f>'BOMBA LIMPEZA QUIMICA'!F2</f>
        <v>S/ESLINGA</v>
      </c>
      <c r="F20" s="11" t="str">
        <f>'BOMBA LIMPEZA QUIMICA'!G2</f>
        <v>S/ESLINGA</v>
      </c>
    </row>
    <row r="21" spans="1:6" ht="15.9" hidden="1" customHeight="1" x14ac:dyDescent="0.3">
      <c r="A21" s="3" t="str">
        <f>'BOMBA LIMPEZA QUIMICA'!A3</f>
        <v>CME-BLQE.004</v>
      </c>
      <c r="B21" s="13" t="str">
        <f>'BOMBA LIMPEZA QUIMICA'!C3</f>
        <v>BASE</v>
      </c>
      <c r="C21" s="13" t="str">
        <f>'BOMBA LIMPEZA QUIMICA'!D3</f>
        <v>BASE</v>
      </c>
      <c r="D21" s="11">
        <f>'BOMBA LIMPEZA QUIMICA'!E3</f>
        <v>45850</v>
      </c>
      <c r="E21" s="13" t="str">
        <f>'BOMBA LIMPEZA QUIMICA'!F3</f>
        <v>S/ESLINGA</v>
      </c>
      <c r="F21" s="11" t="str">
        <f>'BOMBA LIMPEZA QUIMICA'!G3</f>
        <v>S/ESLINGA</v>
      </c>
    </row>
    <row r="22" spans="1:6" ht="15.9" hidden="1" customHeight="1" x14ac:dyDescent="0.3">
      <c r="A22" s="3" t="str">
        <f>'BOMBA LIMPEZA QUIMICA'!A4</f>
        <v>CME-BLQE.005</v>
      </c>
      <c r="B22" s="13" t="str">
        <f>'BOMBA LIMPEZA QUIMICA'!C4</f>
        <v>BASE</v>
      </c>
      <c r="C22" s="13" t="str">
        <f>'BOMBA LIMPEZA QUIMICA'!D4</f>
        <v>BASE</v>
      </c>
      <c r="D22" s="11">
        <f>'BOMBA LIMPEZA QUIMICA'!E4</f>
        <v>45850</v>
      </c>
      <c r="E22" s="13" t="str">
        <f>'BOMBA LIMPEZA QUIMICA'!F4</f>
        <v>S/ESLINGA</v>
      </c>
      <c r="F22" s="11" t="str">
        <f>'BOMBA LIMPEZA QUIMICA'!G4</f>
        <v>S/ESLINGA</v>
      </c>
    </row>
    <row r="23" spans="1:6" ht="15.9" hidden="1" customHeight="1" x14ac:dyDescent="0.3">
      <c r="A23" s="3" t="str">
        <f>'BOMBA LIMPEZA QUIMICA'!A5</f>
        <v>CME-BLQE.006</v>
      </c>
      <c r="B23" s="13" t="str">
        <f>'BOMBA LIMPEZA QUIMICA'!C5</f>
        <v>BASE</v>
      </c>
      <c r="C23" s="13" t="str">
        <f>'BOMBA LIMPEZA QUIMICA'!D5</f>
        <v>SAQUAREMA</v>
      </c>
      <c r="D23" s="11">
        <f>'BOMBA LIMPEZA QUIMICA'!E5</f>
        <v>46539</v>
      </c>
      <c r="E23" s="13" t="str">
        <f>'BOMBA LIMPEZA QUIMICA'!F5</f>
        <v>BC-26039</v>
      </c>
      <c r="F23" s="11">
        <f>'BOMBA LIMPEZA QUIMICA'!G5</f>
        <v>46428</v>
      </c>
    </row>
    <row r="24" spans="1:6" ht="15.9" hidden="1" customHeight="1" x14ac:dyDescent="0.3">
      <c r="A24" s="3" t="str">
        <f>'BOMBA LIMPEZA QUIMICA'!A6</f>
        <v>CME-BLQE.007</v>
      </c>
      <c r="B24" s="13" t="str">
        <f>'BOMBA LIMPEZA QUIMICA'!C6</f>
        <v>BASE</v>
      </c>
      <c r="C24" s="13" t="str">
        <f>'BOMBA LIMPEZA QUIMICA'!D6</f>
        <v>BASE</v>
      </c>
      <c r="D24" s="11">
        <f>'BOMBA LIMPEZA QUIMICA'!E6</f>
        <v>46428</v>
      </c>
      <c r="E24" s="13" t="str">
        <f>'BOMBA LIMPEZA QUIMICA'!F6</f>
        <v>L7-69873</v>
      </c>
      <c r="F24" s="11">
        <f>'BOMBA LIMPEZA QUIMICA'!G6</f>
        <v>46428</v>
      </c>
    </row>
    <row r="25" spans="1:6" ht="15.9" hidden="1" customHeight="1" x14ac:dyDescent="0.3">
      <c r="A25" s="3" t="str">
        <f>'BOMBA LIMPEZA QUIMICA'!A7</f>
        <v>CME.BLQE.008</v>
      </c>
      <c r="B25" s="13" t="str">
        <f>'BOMBA LIMPEZA QUIMICA'!C7</f>
        <v>BASE</v>
      </c>
      <c r="C25" s="13" t="str">
        <f>'BOMBA LIMPEZA QUIMICA'!D7</f>
        <v>BASE</v>
      </c>
      <c r="D25" s="11">
        <f>'BOMBA LIMPEZA QUIMICA'!E7</f>
        <v>44365</v>
      </c>
      <c r="E25" s="15" t="str">
        <f>'BOMBA LIMPEZA QUIMICA'!F7</f>
        <v>S/ESLINGA</v>
      </c>
      <c r="F25" s="11">
        <f>'BOMBA LIMPEZA QUIMICA'!G7</f>
        <v>0</v>
      </c>
    </row>
    <row r="26" spans="1:6" ht="15.9" hidden="1" customHeight="1" x14ac:dyDescent="0.3">
      <c r="A26" s="3" t="str">
        <f>'BOMBA LIMPEZA QUIMICA'!A8</f>
        <v>CME.BLQE.009</v>
      </c>
      <c r="B26" s="13" t="str">
        <f>'BOMBA LIMPEZA QUIMICA'!C8</f>
        <v>?????</v>
      </c>
      <c r="C26" s="13" t="str">
        <f>'BOMBA LIMPEZA QUIMICA'!D8</f>
        <v>?????</v>
      </c>
      <c r="D26" s="11">
        <f>'BOMBA LIMPEZA QUIMICA'!E8</f>
        <v>45203</v>
      </c>
      <c r="E26" s="13" t="str">
        <f>'BOMBA LIMPEZA QUIMICA'!F8</f>
        <v>S/ESLINGA</v>
      </c>
      <c r="F26" s="11">
        <f>'BOMBA LIMPEZA QUIMICA'!G8</f>
        <v>0</v>
      </c>
    </row>
    <row r="27" spans="1:6" ht="15.9" hidden="1" customHeight="1" x14ac:dyDescent="0.3">
      <c r="A27" s="3" t="str">
        <f>'BOMBA LIMPEZA QUIMICA'!A9</f>
        <v>CME-BLQE.010</v>
      </c>
      <c r="B27" s="13" t="str">
        <f>'BOMBA LIMPEZA QUIMICA'!C9</f>
        <v>SBM</v>
      </c>
      <c r="C27" s="13" t="str">
        <f>'BOMBA LIMPEZA QUIMICA'!D9</f>
        <v>MARICA</v>
      </c>
      <c r="D27" s="11">
        <f>'BOMBA LIMPEZA QUIMICA'!E9</f>
        <v>46428</v>
      </c>
      <c r="E27" s="13" t="str">
        <f>'BOMBA LIMPEZA QUIMICA'!F9</f>
        <v>009</v>
      </c>
      <c r="F27" s="11">
        <f>'BOMBA LIMPEZA QUIMICA'!G9</f>
        <v>46428</v>
      </c>
    </row>
    <row r="28" spans="1:6" ht="15.9" hidden="1" customHeight="1" x14ac:dyDescent="0.3">
      <c r="A28" s="3" t="str">
        <f>'BOMBA LIMPEZA QUIMICA'!A10</f>
        <v>CME-BLQE.011</v>
      </c>
      <c r="B28" s="13" t="str">
        <f>'BOMBA LIMPEZA QUIMICA'!C10</f>
        <v>BASE</v>
      </c>
      <c r="C28" s="13" t="str">
        <f>'BOMBA LIMPEZA QUIMICA'!D10</f>
        <v>PARATY</v>
      </c>
      <c r="D28" s="11">
        <f>'BOMBA LIMPEZA QUIMICA'!E10</f>
        <v>46428</v>
      </c>
      <c r="E28" s="13" t="str">
        <f>'BOMBA LIMPEZA QUIMICA'!F10</f>
        <v>BC-2303861</v>
      </c>
      <c r="F28" s="11">
        <f>'BOMBA LIMPEZA QUIMICA'!G10</f>
        <v>46428</v>
      </c>
    </row>
    <row r="29" spans="1:6" ht="15.9" hidden="1" customHeight="1" x14ac:dyDescent="0.3">
      <c r="A29" s="3" t="str">
        <f>CALDEIRA!A2</f>
        <v>CME-SKD-CALD.001</v>
      </c>
      <c r="B29" s="13" t="e">
        <f>CALDEIRA!#REF!</f>
        <v>#REF!</v>
      </c>
      <c r="C29" s="13" t="e">
        <f>CALDEIRA!#REF!</f>
        <v>#REF!</v>
      </c>
      <c r="D29" s="11">
        <f>CALDEIRA!E2</f>
        <v>46428</v>
      </c>
      <c r="E29" s="13">
        <f>CALDEIRA!F2</f>
        <v>220406114</v>
      </c>
      <c r="F29" s="11">
        <f>CALDEIRA!G2</f>
        <v>46428</v>
      </c>
    </row>
    <row r="30" spans="1:6" ht="15.9" hidden="1" customHeight="1" x14ac:dyDescent="0.3">
      <c r="A30" s="3" t="str">
        <f>CALDEIRA!A3</f>
        <v>CME-SKD-CALD.002</v>
      </c>
      <c r="B30" s="13" t="str">
        <f>CALDEIRA!C3</f>
        <v>BASE</v>
      </c>
      <c r="C30" s="13" t="str">
        <f>CALDEIRA!D3</f>
        <v>SAQUAREMA</v>
      </c>
      <c r="D30" s="11">
        <f>CALDEIRA!E3</f>
        <v>46428</v>
      </c>
      <c r="E30" s="13" t="str">
        <f>CALDEIRA!F3</f>
        <v>11103-111704</v>
      </c>
      <c r="F30" s="11">
        <f>CALDEIRA!G3</f>
        <v>46428</v>
      </c>
    </row>
    <row r="31" spans="1:6" ht="15.9" hidden="1" customHeight="1" x14ac:dyDescent="0.3">
      <c r="A31" s="3" t="str">
        <f>CALDEIRA!A4</f>
        <v>CME-SKD-CALD.003</v>
      </c>
      <c r="B31" s="13" t="str">
        <f>CALDEIRA!C4</f>
        <v>BASE</v>
      </c>
      <c r="C31" s="13" t="str">
        <f>CALDEIRA!D4</f>
        <v>BASE</v>
      </c>
      <c r="D31" s="11">
        <f>CALDEIRA!E4</f>
        <v>46428</v>
      </c>
      <c r="E31" s="13">
        <f>CALDEIRA!F4</f>
        <v>1110311</v>
      </c>
      <c r="F31" s="11">
        <f>CALDEIRA!G4</f>
        <v>46428</v>
      </c>
    </row>
    <row r="32" spans="1:6" ht="15.9" hidden="1" customHeight="1" x14ac:dyDescent="0.3">
      <c r="A32" s="3" t="str">
        <f>CONTAINER!A2</f>
        <v>CME-DNV-024</v>
      </c>
      <c r="B32" s="13" t="str">
        <f>CONTAINER!D2</f>
        <v>BASE</v>
      </c>
      <c r="C32" s="13" t="str">
        <f>CONTAINER!E2</f>
        <v>BASE</v>
      </c>
      <c r="D32" s="11">
        <f>CONTAINER!F2</f>
        <v>46510</v>
      </c>
      <c r="E32" s="13" t="str">
        <f>CONTAINER!G2</f>
        <v>VERIF.</v>
      </c>
      <c r="F32" s="11">
        <f>CONTAINER!H2</f>
        <v>46280</v>
      </c>
    </row>
    <row r="33" spans="1:6" ht="15.9" hidden="1" customHeight="1" x14ac:dyDescent="0.3">
      <c r="A33" s="3" t="str">
        <f>CONTAINER!A3</f>
        <v>CME-DNV-025</v>
      </c>
      <c r="B33" s="13" t="str">
        <f>CONTAINER!D3</f>
        <v>BASE</v>
      </c>
      <c r="C33" s="13" t="str">
        <f>CONTAINER!E3</f>
        <v>BASE</v>
      </c>
      <c r="D33" s="11">
        <f>CONTAINER!F3</f>
        <v>46510</v>
      </c>
      <c r="E33" s="13" t="str">
        <f>CONTAINER!G3</f>
        <v>VERIF.</v>
      </c>
      <c r="F33" s="11">
        <f>CONTAINER!H3</f>
        <v>46280</v>
      </c>
    </row>
    <row r="34" spans="1:6" ht="15.9" hidden="1" customHeight="1" x14ac:dyDescent="0.3">
      <c r="A34" s="3" t="str">
        <f>CONTAINER!A4</f>
        <v>CME-DNV-026</v>
      </c>
      <c r="B34" s="13" t="str">
        <f>CONTAINER!D4</f>
        <v>BASE</v>
      </c>
      <c r="C34" s="13" t="str">
        <f>CONTAINER!E4</f>
        <v>SAQUAREMA</v>
      </c>
      <c r="D34" s="11">
        <f>CONTAINER!F4</f>
        <v>46510</v>
      </c>
      <c r="E34" s="13" t="str">
        <f>CONTAINER!G4</f>
        <v>BC-2303109</v>
      </c>
      <c r="F34" s="11">
        <f>CONTAINER!H4</f>
        <v>46540</v>
      </c>
    </row>
    <row r="35" spans="1:6" ht="15.9" hidden="1" customHeight="1" x14ac:dyDescent="0.3">
      <c r="A35" s="3" t="str">
        <f>CONTAINER!A5</f>
        <v>CME-DNV-027</v>
      </c>
      <c r="B35" s="13" t="str">
        <f>CONTAINER!D5</f>
        <v>BASE</v>
      </c>
      <c r="C35" s="13" t="str">
        <f>CONTAINER!E5</f>
        <v>BASE</v>
      </c>
      <c r="D35" s="11">
        <f>CONTAINER!F5</f>
        <v>46429</v>
      </c>
      <c r="E35" s="13">
        <f>CONTAINER!G5</f>
        <v>230800288</v>
      </c>
      <c r="F35" s="11">
        <f>CONTAINER!H5</f>
        <v>46429</v>
      </c>
    </row>
    <row r="36" spans="1:6" ht="15.9" hidden="1" customHeight="1" x14ac:dyDescent="0.3">
      <c r="A36" s="3" t="str">
        <f>CONTAINER!A6</f>
        <v>CME-DNV-028</v>
      </c>
      <c r="B36" s="13" t="str">
        <f>CONTAINER!D6</f>
        <v>BASE</v>
      </c>
      <c r="C36" s="13" t="str">
        <f>CONTAINER!E6</f>
        <v>MV26</v>
      </c>
      <c r="D36" s="11">
        <f>CONTAINER!F6</f>
        <v>46540</v>
      </c>
      <c r="E36" s="13">
        <f>CONTAINER!G6</f>
        <v>230800289</v>
      </c>
      <c r="F36" s="11">
        <f>CONTAINER!H6</f>
        <v>46540</v>
      </c>
    </row>
    <row r="37" spans="1:6" ht="15.9" hidden="1" customHeight="1" x14ac:dyDescent="0.3">
      <c r="A37" s="3" t="str">
        <f>CONTAINER!A7</f>
        <v>CME-DNV-029</v>
      </c>
      <c r="B37" s="13" t="str">
        <f>CONTAINER!D7</f>
        <v>BASE</v>
      </c>
      <c r="C37" s="13" t="str">
        <f>CONTAINER!E7</f>
        <v>PARATY</v>
      </c>
      <c r="D37" s="11">
        <f>CONTAINER!F7</f>
        <v>46540</v>
      </c>
      <c r="E37" s="13">
        <f>CONTAINER!G7</f>
        <v>250300264</v>
      </c>
      <c r="F37" s="11">
        <f>CONTAINER!H7</f>
        <v>46540</v>
      </c>
    </row>
    <row r="38" spans="1:6" ht="15.9" hidden="1" customHeight="1" x14ac:dyDescent="0.3">
      <c r="A38" s="3" t="str">
        <f>CONTAINER!A8</f>
        <v>CME-DNV-030</v>
      </c>
      <c r="B38" s="13" t="str">
        <f>CONTAINER!D8</f>
        <v>BASE</v>
      </c>
      <c r="C38" s="13" t="str">
        <f>CONTAINER!E8</f>
        <v>MV26</v>
      </c>
      <c r="D38" s="11">
        <f>CONTAINER!F8</f>
        <v>46510</v>
      </c>
      <c r="E38" s="13">
        <f>CONTAINER!G8</f>
        <v>230800291</v>
      </c>
      <c r="F38" s="11">
        <f>CONTAINER!H8</f>
        <v>46510</v>
      </c>
    </row>
    <row r="39" spans="1:6" ht="15.9" hidden="1" customHeight="1" x14ac:dyDescent="0.3">
      <c r="A39" s="3" t="str">
        <f>CONTAINER!A9</f>
        <v>CME-DNV-031</v>
      </c>
      <c r="B39" s="13" t="str">
        <f>CONTAINER!D9</f>
        <v>BASE</v>
      </c>
      <c r="C39" s="13" t="str">
        <f>CONTAINER!E9</f>
        <v>MV26</v>
      </c>
      <c r="D39" s="11">
        <f>CONTAINER!F9</f>
        <v>46510</v>
      </c>
      <c r="E39" s="13">
        <f>CONTAINER!G9</f>
        <v>230800292</v>
      </c>
      <c r="F39" s="11">
        <f>CONTAINER!H9</f>
        <v>46510</v>
      </c>
    </row>
    <row r="40" spans="1:6" ht="15.9" hidden="1" customHeight="1" x14ac:dyDescent="0.3">
      <c r="A40" s="3" t="str">
        <f>CONTAINER!A10</f>
        <v>CME-DNV-032</v>
      </c>
      <c r="B40" s="13" t="str">
        <f>CONTAINER!D10</f>
        <v>MODEC</v>
      </c>
      <c r="C40" s="13" t="str">
        <f>CONTAINER!E10</f>
        <v>MV24</v>
      </c>
      <c r="D40" s="11">
        <f>CONTAINER!F10</f>
        <v>46429</v>
      </c>
      <c r="E40" s="13">
        <f>CONTAINER!G10</f>
        <v>230800293</v>
      </c>
      <c r="F40" s="11">
        <f>CONTAINER!H10</f>
        <v>46429</v>
      </c>
    </row>
    <row r="41" spans="1:6" ht="15.9" hidden="1" customHeight="1" x14ac:dyDescent="0.3">
      <c r="A41" s="3" t="str">
        <f>CONTAINER!A11</f>
        <v>CME-DNV-033</v>
      </c>
      <c r="B41" s="13" t="str">
        <f>CONTAINER!D11</f>
        <v>BASE</v>
      </c>
      <c r="C41" s="13" t="str">
        <f>CONTAINER!E11</f>
        <v>MV26</v>
      </c>
      <c r="D41" s="11">
        <f>CONTAINER!F11</f>
        <v>46510</v>
      </c>
      <c r="E41" s="13">
        <f>CONTAINER!G11</f>
        <v>230800285</v>
      </c>
      <c r="F41" s="11">
        <f>CONTAINER!H11</f>
        <v>46510</v>
      </c>
    </row>
    <row r="42" spans="1:6" ht="15.9" hidden="1" customHeight="1" x14ac:dyDescent="0.3">
      <c r="A42" s="3" t="str">
        <f>CONTAINER!A12</f>
        <v>CME-DNV-034</v>
      </c>
      <c r="B42" s="13" t="str">
        <f>CONTAINER!D12</f>
        <v>BASE</v>
      </c>
      <c r="C42" s="13" t="str">
        <f>CONTAINER!E12</f>
        <v>PARATY</v>
      </c>
      <c r="D42" s="11">
        <f>CONTAINER!F12</f>
        <v>46477</v>
      </c>
      <c r="E42" s="13">
        <f>CONTAINER!G12</f>
        <v>230800295</v>
      </c>
      <c r="F42" s="11">
        <f>CONTAINER!H12</f>
        <v>46477</v>
      </c>
    </row>
    <row r="43" spans="1:6" ht="15.9" hidden="1" customHeight="1" x14ac:dyDescent="0.3">
      <c r="A43" s="3" t="str">
        <f>CONTAINER!A13</f>
        <v>CME-DNV-035</v>
      </c>
      <c r="B43" s="13" t="str">
        <f>CONTAINER!D13</f>
        <v>BASE</v>
      </c>
      <c r="C43" s="13" t="str">
        <f>CONTAINER!E13</f>
        <v>BASE</v>
      </c>
      <c r="D43" s="11">
        <f>CONTAINER!F13</f>
        <v>46510</v>
      </c>
      <c r="E43" s="13">
        <f>CONTAINER!G13</f>
        <v>230800296</v>
      </c>
      <c r="F43" s="11">
        <f>CONTAINER!H13</f>
        <v>46510</v>
      </c>
    </row>
    <row r="44" spans="1:6" ht="15.9" hidden="1" customHeight="1" x14ac:dyDescent="0.3">
      <c r="A44" s="3" t="str">
        <f>CONTAINER!A14</f>
        <v>CME-DNV-036</v>
      </c>
      <c r="B44" s="13" t="str">
        <f>CONTAINER!D14</f>
        <v>BASE</v>
      </c>
      <c r="C44" s="13" t="str">
        <f>CONTAINER!E14</f>
        <v>BASE</v>
      </c>
      <c r="D44" s="11">
        <f>CONTAINER!F14</f>
        <v>46540</v>
      </c>
      <c r="E44" s="13">
        <f>CONTAINER!G14</f>
        <v>230800297</v>
      </c>
      <c r="F44" s="11">
        <f>CONTAINER!H14</f>
        <v>46540</v>
      </c>
    </row>
    <row r="45" spans="1:6" ht="15.9" hidden="1" customHeight="1" x14ac:dyDescent="0.3">
      <c r="A45" s="3" t="str">
        <f>CONTAINER!A15</f>
        <v>CME-DNV-037</v>
      </c>
      <c r="B45" s="13" t="str">
        <f>CONTAINER!D15</f>
        <v>BASE</v>
      </c>
      <c r="C45" s="13" t="str">
        <f>CONTAINER!E15</f>
        <v>ALM. TAMANDARE</v>
      </c>
      <c r="D45" s="11">
        <f>CONTAINER!F15</f>
        <v>46510</v>
      </c>
      <c r="E45" s="13">
        <f>CONTAINER!G15</f>
        <v>230800298</v>
      </c>
      <c r="F45" s="11">
        <f>CONTAINER!H15</f>
        <v>46510</v>
      </c>
    </row>
    <row r="46" spans="1:6" ht="15.9" hidden="1" customHeight="1" x14ac:dyDescent="0.3">
      <c r="A46" s="3" t="str">
        <f>CONTAINER!A16</f>
        <v>CME-DNV-038</v>
      </c>
      <c r="B46" s="13" t="str">
        <f>CONTAINER!D16</f>
        <v>BASE</v>
      </c>
      <c r="C46" s="13" t="str">
        <f>CONTAINER!E16</f>
        <v>BASE</v>
      </c>
      <c r="D46" s="11">
        <f>CONTAINER!F16</f>
        <v>46510</v>
      </c>
      <c r="E46" s="13">
        <f>CONTAINER!G16</f>
        <v>230800299</v>
      </c>
      <c r="F46" s="11">
        <f>CONTAINER!H16</f>
        <v>46280</v>
      </c>
    </row>
    <row r="47" spans="1:6" ht="15.9" hidden="1" customHeight="1" x14ac:dyDescent="0.3">
      <c r="A47" s="3" t="str">
        <f>CONTAINER!A17</f>
        <v>CME-DNV-039</v>
      </c>
      <c r="B47" s="13" t="str">
        <f>CONTAINER!D17</f>
        <v>BASE</v>
      </c>
      <c r="C47" s="13" t="str">
        <f>CONTAINER!E17</f>
        <v>BASE</v>
      </c>
      <c r="D47" s="11">
        <f>CONTAINER!F17</f>
        <v>46510</v>
      </c>
      <c r="E47" s="13">
        <f>CONTAINER!G17</f>
        <v>230800300</v>
      </c>
      <c r="F47" s="11">
        <f>CONTAINER!H17</f>
        <v>46280</v>
      </c>
    </row>
    <row r="48" spans="1:6" ht="15.9" hidden="1" customHeight="1" x14ac:dyDescent="0.3">
      <c r="A48" s="3" t="str">
        <f>CONTAINER!A18</f>
        <v>DNVU105149-7</v>
      </c>
      <c r="B48" s="13" t="str">
        <f>CONTAINER!D18</f>
        <v>BASE</v>
      </c>
      <c r="C48" s="13" t="str">
        <f>CONTAINER!E18</f>
        <v>BASE</v>
      </c>
      <c r="D48" s="11">
        <f>CONTAINER!F18</f>
        <v>46429</v>
      </c>
      <c r="E48" s="13" t="str">
        <f>CONTAINER!G18</f>
        <v>IA0166/22-2</v>
      </c>
      <c r="F48" s="11">
        <f>CONTAINER!H18</f>
        <v>46429</v>
      </c>
    </row>
    <row r="49" spans="1:6" ht="15.6" hidden="1" x14ac:dyDescent="0.3">
      <c r="A49" s="3" t="str">
        <f>CONTAINER!A19</f>
        <v>DNVU105159-0</v>
      </c>
      <c r="B49" s="13" t="str">
        <f>CONTAINER!D19</f>
        <v>BASE</v>
      </c>
      <c r="C49" s="13" t="str">
        <f>CONTAINER!E19</f>
        <v>SAQUAREMA</v>
      </c>
      <c r="D49" s="11">
        <f>CONTAINER!F19</f>
        <v>46540</v>
      </c>
      <c r="E49" s="13">
        <f>CONTAINER!G19</f>
        <v>250300262</v>
      </c>
      <c r="F49" s="11">
        <f>CONTAINER!H19</f>
        <v>46540</v>
      </c>
    </row>
    <row r="50" spans="1:6" ht="15.9" hidden="1" customHeight="1" x14ac:dyDescent="0.3">
      <c r="A50" s="3" t="str">
        <f>CONTAINER!A20</f>
        <v>DNVU105160-3</v>
      </c>
      <c r="B50" s="13" t="str">
        <f>CONTAINER!D20</f>
        <v>BASE</v>
      </c>
      <c r="C50" s="13" t="str">
        <f>CONTAINER!E20</f>
        <v>MV26</v>
      </c>
      <c r="D50" s="11">
        <f>CONTAINER!F20</f>
        <v>46429</v>
      </c>
      <c r="E50" s="13" t="str">
        <f>CONTAINER!G20</f>
        <v>BC-59714</v>
      </c>
      <c r="F50" s="11">
        <f>CONTAINER!H20</f>
        <v>46429</v>
      </c>
    </row>
    <row r="51" spans="1:6" ht="15.9" hidden="1" customHeight="1" x14ac:dyDescent="0.3">
      <c r="A51" s="3" t="str">
        <f>CONTAINER!A21</f>
        <v>DNVU105164-5</v>
      </c>
      <c r="B51" s="13" t="str">
        <f>CONTAINER!D21</f>
        <v>SBM</v>
      </c>
      <c r="C51" s="13" t="str">
        <f>CONTAINER!E21</f>
        <v>ANCHIETA</v>
      </c>
      <c r="D51" s="11">
        <f>CONTAINER!F21</f>
        <v>46429</v>
      </c>
      <c r="E51" s="13" t="str">
        <f>CONTAINER!G21</f>
        <v>BC-26036</v>
      </c>
      <c r="F51" s="11">
        <f>CONTAINER!H21</f>
        <v>46429</v>
      </c>
    </row>
    <row r="52" spans="1:6" ht="15.6" hidden="1" x14ac:dyDescent="0.3">
      <c r="A52" s="3" t="str">
        <f>CONTAINER!A22</f>
        <v>DNVU105166-6</v>
      </c>
      <c r="B52" s="13" t="str">
        <f>CONTAINER!D22</f>
        <v>BASE</v>
      </c>
      <c r="C52" s="13" t="str">
        <f>CONTAINER!E22</f>
        <v>BASE</v>
      </c>
      <c r="D52" s="11">
        <f>CONTAINER!F22</f>
        <v>46477</v>
      </c>
      <c r="E52" s="13">
        <f>CONTAINER!G22</f>
        <v>250300260</v>
      </c>
      <c r="F52" s="11">
        <f>CONTAINER!H22</f>
        <v>46477</v>
      </c>
    </row>
    <row r="53" spans="1:6" ht="15.6" hidden="1" x14ac:dyDescent="0.3">
      <c r="A53" s="3" t="str">
        <f>CONTAINER!A23</f>
        <v>DNVU105170-6</v>
      </c>
      <c r="B53" s="13" t="str">
        <f>CONTAINER!D23</f>
        <v>BASE</v>
      </c>
      <c r="C53" s="13" t="str">
        <f>CONTAINER!E23</f>
        <v>PARATY</v>
      </c>
      <c r="D53" s="11">
        <f>CONTAINER!F23</f>
        <v>46429</v>
      </c>
      <c r="E53" s="13" t="str">
        <f>CONTAINER!G23</f>
        <v>L7-65902/3</v>
      </c>
      <c r="F53" s="11">
        <f>CONTAINER!H23</f>
        <v>46429</v>
      </c>
    </row>
    <row r="54" spans="1:6" ht="15.9" hidden="1" customHeight="1" x14ac:dyDescent="0.3">
      <c r="A54" s="3" t="str">
        <f>CONTAINER!A24</f>
        <v>DNVU105174-8</v>
      </c>
      <c r="B54" s="13" t="str">
        <f>CONTAINER!D24</f>
        <v>BASE</v>
      </c>
      <c r="C54" s="13" t="str">
        <f>CONTAINER!E24</f>
        <v>SAQUAREMA</v>
      </c>
      <c r="D54" s="11">
        <f>CONTAINER!F24</f>
        <v>46429</v>
      </c>
      <c r="E54" s="13" t="str">
        <f>CONTAINER!G24</f>
        <v>IA0166/22-1</v>
      </c>
      <c r="F54" s="11">
        <f>CONTAINER!H24</f>
        <v>46429</v>
      </c>
    </row>
    <row r="55" spans="1:6" ht="15.9" hidden="1" customHeight="1" x14ac:dyDescent="0.3">
      <c r="A55" s="3" t="str">
        <f>CONTAINER!A25</f>
        <v>DNVU105176-9</v>
      </c>
      <c r="B55" s="13" t="str">
        <f>CONTAINER!D25</f>
        <v>BASE</v>
      </c>
      <c r="C55" s="13" t="str">
        <f>CONTAINER!E25</f>
        <v>MV26</v>
      </c>
      <c r="D55" s="11">
        <f>CONTAINER!F25</f>
        <v>46477</v>
      </c>
      <c r="E55" s="13" t="str">
        <f>CONTAINER!G25</f>
        <v>BC-59713</v>
      </c>
      <c r="F55" s="11">
        <f>CONTAINER!H25</f>
        <v>46477</v>
      </c>
    </row>
    <row r="56" spans="1:6" ht="15.9" hidden="1" customHeight="1" x14ac:dyDescent="0.3">
      <c r="A56" s="3" t="str">
        <f>CONTAINER!A26</f>
        <v>DNVU105181-4</v>
      </c>
      <c r="B56" s="13" t="str">
        <f>CONTAINER!D26</f>
        <v>BASE</v>
      </c>
      <c r="C56" s="13" t="str">
        <f>CONTAINER!E26</f>
        <v>SAQUAREMA</v>
      </c>
      <c r="D56" s="11">
        <f>CONTAINER!F26</f>
        <v>46429</v>
      </c>
      <c r="E56" s="13" t="str">
        <f>CONTAINER!G26</f>
        <v>L7-61032</v>
      </c>
      <c r="F56" s="11">
        <f>CONTAINER!H26</f>
        <v>46429</v>
      </c>
    </row>
    <row r="57" spans="1:6" ht="15.9" hidden="1" customHeight="1" x14ac:dyDescent="0.3">
      <c r="A57" s="3" t="str">
        <f>CONTAINER!A27</f>
        <v>DNVU105203-0</v>
      </c>
      <c r="B57" s="13" t="str">
        <f>CONTAINER!D27</f>
        <v>SBM</v>
      </c>
      <c r="C57" s="13" t="str">
        <f>CONTAINER!E27</f>
        <v>MARICA</v>
      </c>
      <c r="D57" s="11">
        <f>CONTAINER!F27</f>
        <v>46429</v>
      </c>
      <c r="E57" s="13" t="str">
        <f>CONTAINER!G27</f>
        <v>L7-59879</v>
      </c>
      <c r="F57" s="11">
        <f>CONTAINER!H27</f>
        <v>46429</v>
      </c>
    </row>
    <row r="58" spans="1:6" ht="15.9" hidden="1" customHeight="1" x14ac:dyDescent="0.3">
      <c r="A58" s="3" t="str">
        <f>CONTAINER!A28</f>
        <v>DNVU105206-6</v>
      </c>
      <c r="B58" s="13" t="str">
        <f>CONTAINER!D28</f>
        <v>BASE</v>
      </c>
      <c r="C58" s="13" t="str">
        <f>CONTAINER!E28</f>
        <v>SAQUAREMA</v>
      </c>
      <c r="D58" s="11">
        <f>CONTAINER!F28</f>
        <v>46429</v>
      </c>
      <c r="E58" s="13" t="str">
        <f>CONTAINER!G28</f>
        <v>L7-60199</v>
      </c>
      <c r="F58" s="11">
        <f>CONTAINER!H28</f>
        <v>46429</v>
      </c>
    </row>
    <row r="59" spans="1:6" ht="15.6" hidden="1" x14ac:dyDescent="0.3">
      <c r="A59" s="3" t="e">
        <f>CONTAINER!#REF!</f>
        <v>#REF!</v>
      </c>
      <c r="B59" s="13" t="e">
        <f>CONTAINER!#REF!</f>
        <v>#REF!</v>
      </c>
      <c r="C59" s="13" t="e">
        <f>CONTAINER!#REF!</f>
        <v>#REF!</v>
      </c>
      <c r="D59" s="11" t="e">
        <f>CONTAINER!#REF!</f>
        <v>#REF!</v>
      </c>
      <c r="E59" s="13" t="e">
        <f>CONTAINER!#REF!</f>
        <v>#REF!</v>
      </c>
      <c r="F59" s="11" t="e">
        <f>CONTAINER!#REF!</f>
        <v>#REF!</v>
      </c>
    </row>
    <row r="60" spans="1:6" ht="15.9" hidden="1" customHeight="1" x14ac:dyDescent="0.3">
      <c r="A60" s="3" t="str">
        <f>CONTAINER!A30</f>
        <v>DNVU105220-9</v>
      </c>
      <c r="B60" s="13" t="str">
        <f>CONTAINER!D30</f>
        <v>BASE</v>
      </c>
      <c r="C60" s="13" t="str">
        <f>CONTAINER!E30</f>
        <v>BASE</v>
      </c>
      <c r="D60" s="11" t="str">
        <f>CONTAINER!F30</f>
        <v>S/ESLINGA</v>
      </c>
      <c r="E60" s="13" t="str">
        <f>CONTAINER!G30</f>
        <v>S/ESLINGA</v>
      </c>
      <c r="F60" s="11" t="str">
        <f>CONTAINER!H30</f>
        <v>S/ESLINGA</v>
      </c>
    </row>
    <row r="61" spans="1:6" ht="15.9" hidden="1" customHeight="1" x14ac:dyDescent="0.3">
      <c r="A61" s="3" t="str">
        <f>CONTAINER!A31</f>
        <v>DNVU105221-4</v>
      </c>
      <c r="B61" s="13" t="str">
        <f>CONTAINER!D31</f>
        <v>SBM</v>
      </c>
      <c r="C61" s="13" t="str">
        <f>CONTAINER!E31</f>
        <v>MARICA</v>
      </c>
      <c r="D61" s="11">
        <f>CONTAINER!F31</f>
        <v>46477</v>
      </c>
      <c r="E61" s="13" t="str">
        <f>CONTAINER!G31</f>
        <v>L7-66641</v>
      </c>
      <c r="F61" s="11">
        <f>CONTAINER!H31</f>
        <v>46477</v>
      </c>
    </row>
    <row r="62" spans="1:6" ht="15.9" hidden="1" customHeight="1" x14ac:dyDescent="0.3">
      <c r="A62" s="3" t="str">
        <f>CONTAINER!A32</f>
        <v>DNVU105229-8</v>
      </c>
      <c r="B62" s="13" t="str">
        <f>CONTAINER!D32</f>
        <v>BASE</v>
      </c>
      <c r="C62" s="13" t="str">
        <f>CONTAINER!E32</f>
        <v>GUIANA</v>
      </c>
      <c r="D62" s="11">
        <f>CONTAINER!F32</f>
        <v>46477</v>
      </c>
      <c r="E62" s="13" t="str">
        <f>CONTAINER!G32</f>
        <v>L7-65902/1</v>
      </c>
      <c r="F62" s="11">
        <f>CONTAINER!H32</f>
        <v>46477</v>
      </c>
    </row>
    <row r="63" spans="1:6" ht="15.9" hidden="1" customHeight="1" x14ac:dyDescent="0.3">
      <c r="A63" s="3" t="str">
        <f>CONTAINER!A33</f>
        <v>DNVU105230-1</v>
      </c>
      <c r="B63" s="13" t="str">
        <f>CONTAINER!D33</f>
        <v>BASE</v>
      </c>
      <c r="C63" s="13" t="str">
        <f>CONTAINER!E33</f>
        <v>BASE</v>
      </c>
      <c r="D63" s="11" t="str">
        <f>CONTAINER!F33</f>
        <v>S/ESLINGA</v>
      </c>
      <c r="E63" s="13" t="str">
        <f>CONTAINER!G33</f>
        <v>S/ESLINGA</v>
      </c>
      <c r="F63" s="11" t="str">
        <f>CONTAINER!H33</f>
        <v>S/ESLINGA</v>
      </c>
    </row>
    <row r="64" spans="1:6" ht="15.9" hidden="1" customHeight="1" x14ac:dyDescent="0.3">
      <c r="A64" s="3" t="str">
        <f>CONTAINER!A34</f>
        <v>DNVU105231-7</v>
      </c>
      <c r="B64" s="13" t="str">
        <f>CONTAINER!D34</f>
        <v>BASE</v>
      </c>
      <c r="C64" s="13" t="str">
        <f>CONTAINER!E34</f>
        <v>BEERENBERG</v>
      </c>
      <c r="D64" s="11">
        <f>CONTAINER!F34</f>
        <v>46429</v>
      </c>
      <c r="E64" s="13" t="str">
        <f>CONTAINER!G34</f>
        <v>L7-59878</v>
      </c>
      <c r="F64" s="11">
        <f>CONTAINER!H34</f>
        <v>46429</v>
      </c>
    </row>
    <row r="65" spans="1:6" ht="15.9" hidden="1" customHeight="1" x14ac:dyDescent="0.3">
      <c r="A65" s="3" t="str">
        <f>CONTAINER!A35</f>
        <v>DNVU105235-9</v>
      </c>
      <c r="B65" s="13" t="str">
        <f>CONTAINER!D35</f>
        <v>BASE</v>
      </c>
      <c r="C65" s="13" t="str">
        <f>CONTAINER!E35</f>
        <v>BASE</v>
      </c>
      <c r="D65" s="11">
        <f>CONTAINER!F35</f>
        <v>46540</v>
      </c>
      <c r="E65" s="13" t="str">
        <f>CONTAINER!G35</f>
        <v>S/ ESLINGA</v>
      </c>
      <c r="F65" s="11">
        <f>CONTAINER!H35</f>
        <v>46540</v>
      </c>
    </row>
    <row r="66" spans="1:6" ht="15.9" hidden="1" customHeight="1" x14ac:dyDescent="0.3">
      <c r="A66" s="3" t="str">
        <f>CONTAINER!A36</f>
        <v>DNVU105238-5</v>
      </c>
      <c r="B66" s="13" t="str">
        <f>CONTAINER!D36</f>
        <v>BASE</v>
      </c>
      <c r="C66" s="13" t="str">
        <f>CONTAINER!E36</f>
        <v>BASE</v>
      </c>
      <c r="D66" s="11">
        <f>CONTAINER!F36</f>
        <v>46429</v>
      </c>
      <c r="E66" s="13" t="str">
        <f>CONTAINER!G36</f>
        <v>L7-60197</v>
      </c>
      <c r="F66" s="11">
        <f>CONTAINER!H36</f>
        <v>46429</v>
      </c>
    </row>
    <row r="67" spans="1:6" ht="15.6" hidden="1" x14ac:dyDescent="0.3">
      <c r="A67" s="3" t="str">
        <f>COMPRESSORES!A6</f>
        <v>CME-AIR-COMP.005</v>
      </c>
      <c r="B67" s="13" t="str">
        <f>COMPRESSORES!C6</f>
        <v>BASE</v>
      </c>
      <c r="C67" s="13" t="str">
        <f>COMPRESSORES!D6</f>
        <v>MV26</v>
      </c>
      <c r="D67" s="11">
        <f>COMPRESSORES!E6</f>
        <v>46463</v>
      </c>
      <c r="E67" s="13" t="str">
        <f>COMPRESSORES!F6</f>
        <v>BC-2303865</v>
      </c>
      <c r="F67" s="11">
        <f>COMPRESSORES!G6</f>
        <v>46463</v>
      </c>
    </row>
    <row r="68" spans="1:6" ht="15.9" hidden="1" customHeight="1" x14ac:dyDescent="0.3">
      <c r="A68" s="3" t="str">
        <f>CONTAINER!A38</f>
        <v>DNVU105266-2</v>
      </c>
      <c r="B68" s="13" t="str">
        <f>CONTAINER!D38</f>
        <v>BASE</v>
      </c>
      <c r="C68" s="13" t="str">
        <f>CONTAINER!E38</f>
        <v>BASE</v>
      </c>
      <c r="D68" s="11">
        <f>CONTAINER!F38</f>
        <v>46280</v>
      </c>
      <c r="E68" s="13" t="str">
        <f>CONTAINER!G38</f>
        <v>BC-2303108</v>
      </c>
      <c r="F68" s="11">
        <f>CONTAINER!H38</f>
        <v>46280</v>
      </c>
    </row>
    <row r="69" spans="1:6" ht="15.9" hidden="1" customHeight="1" x14ac:dyDescent="0.3">
      <c r="A69" s="3" t="str">
        <f>CONTAINER!A39</f>
        <v>DNVU105277-0</v>
      </c>
      <c r="B69" s="13" t="str">
        <f>CONTAINER!D39</f>
        <v>BASE</v>
      </c>
      <c r="C69" s="13" t="str">
        <f>CONTAINER!E39</f>
        <v>SAQUAREMA</v>
      </c>
      <c r="D69" s="11">
        <f>CONTAINER!F39</f>
        <v>46510</v>
      </c>
      <c r="E69" s="13" t="str">
        <f>CONTAINER!G39</f>
        <v>L7-60198</v>
      </c>
      <c r="F69" s="11">
        <f>CONTAINER!H39</f>
        <v>46540</v>
      </c>
    </row>
    <row r="70" spans="1:6" ht="15.9" hidden="1" customHeight="1" x14ac:dyDescent="0.3">
      <c r="A70" s="3" t="str">
        <f>CONTAINER!A40</f>
        <v>DNVU105285-2</v>
      </c>
      <c r="B70" s="13" t="str">
        <f>CONTAINER!D40</f>
        <v>MODEC</v>
      </c>
      <c r="C70" s="13" t="str">
        <f>CONTAINER!E40</f>
        <v>MV24</v>
      </c>
      <c r="D70" s="11">
        <f>CONTAINER!F40</f>
        <v>46429</v>
      </c>
      <c r="E70" s="13">
        <f>CONTAINER!G40</f>
        <v>284</v>
      </c>
      <c r="F70" s="11">
        <f>CONTAINER!H40</f>
        <v>46429</v>
      </c>
    </row>
    <row r="71" spans="1:6" ht="15.9" hidden="1" customHeight="1" x14ac:dyDescent="0.3">
      <c r="A71" s="3" t="str">
        <f>CONTAINER!A41</f>
        <v>MLTU040150-6  (20PES)</v>
      </c>
      <c r="B71" s="13" t="str">
        <f>CONTAINER!D41</f>
        <v>BASE</v>
      </c>
      <c r="C71" s="13" t="str">
        <f>CONTAINER!E41</f>
        <v>MV26</v>
      </c>
      <c r="D71" s="11">
        <f>CONTAINER!F41</f>
        <v>46429</v>
      </c>
      <c r="E71" s="13">
        <f>CONTAINER!G41</f>
        <v>220406115</v>
      </c>
      <c r="F71" s="11">
        <f>CONTAINER!H41</f>
        <v>46429</v>
      </c>
    </row>
    <row r="72" spans="1:6" ht="15.9" hidden="1" customHeight="1" x14ac:dyDescent="0.3">
      <c r="A72" s="3" t="str">
        <f>'CONTAINER HIDROJATO'!A2</f>
        <v>JCFU100009-7</v>
      </c>
      <c r="B72" s="13" t="str">
        <f>'CONTAINER HIDROJATO'!D2</f>
        <v>BASE</v>
      </c>
      <c r="C72" s="13" t="str">
        <f>'CONTAINER HIDROJATO'!E2</f>
        <v>BASE</v>
      </c>
      <c r="D72" s="11">
        <f>'CONTAINER HIDROJATO'!F2</f>
        <v>46540</v>
      </c>
      <c r="E72" s="13" t="str">
        <f>'CONTAINER HIDROJATO'!G2</f>
        <v>L7-70005</v>
      </c>
      <c r="F72" s="11">
        <f>'CONTAINER HIDROJATO'!H2</f>
        <v>46540</v>
      </c>
    </row>
    <row r="73" spans="1:6" ht="15.6" hidden="1" x14ac:dyDescent="0.3">
      <c r="A73" s="3" t="str">
        <f>'CONTAINER HIDROJATO'!A3</f>
        <v>JCFU100016-3</v>
      </c>
      <c r="B73" s="13" t="str">
        <f>'CONTAINER HIDROJATO'!D3</f>
        <v>SBM</v>
      </c>
      <c r="C73" s="13" t="str">
        <f>'CONTAINER HIDROJATO'!E3</f>
        <v>MARICA</v>
      </c>
      <c r="D73" s="11">
        <f>'CONTAINER HIDROJATO'!F3</f>
        <v>46477</v>
      </c>
      <c r="E73" s="13">
        <f>'CONTAINER HIDROJATO'!G3</f>
        <v>169012</v>
      </c>
      <c r="F73" s="11">
        <f>'CONTAINER HIDROJATO'!H3</f>
        <v>46477</v>
      </c>
    </row>
    <row r="74" spans="1:6" ht="15.6" hidden="1" x14ac:dyDescent="0.3">
      <c r="A74" s="3" t="str">
        <f>'CONTAINER HIDROJATO'!A4</f>
        <v>JCFU100043-5</v>
      </c>
      <c r="B74" s="13" t="str">
        <f>'CONTAINER HIDROJATO'!D4</f>
        <v>MODEC</v>
      </c>
      <c r="C74" s="13" t="str">
        <f>'CONTAINER HIDROJATO'!E4</f>
        <v>MV31</v>
      </c>
      <c r="D74" s="11">
        <f>'CONTAINER HIDROJATO'!F4</f>
        <v>46429</v>
      </c>
      <c r="E74" s="13" t="str">
        <f>'CONTAINER HIDROJATO'!G4</f>
        <v>L7-61033</v>
      </c>
      <c r="F74" s="11">
        <f>'CONTAINER HIDROJATO'!H4</f>
        <v>46429</v>
      </c>
    </row>
    <row r="75" spans="1:6" ht="15.6" hidden="1" x14ac:dyDescent="0.3">
      <c r="A75" s="3" t="str">
        <f>'CONTAINER HIDROJATO'!A5</f>
        <v>JCFU100054-3</v>
      </c>
      <c r="B75" s="13" t="str">
        <f>'CONTAINER HIDROJATO'!D5</f>
        <v>BASE</v>
      </c>
      <c r="C75" s="13" t="str">
        <f>'CONTAINER HIDROJATO'!E5</f>
        <v>SAQUAREMA</v>
      </c>
      <c r="D75" s="11">
        <f>'CONTAINER HIDROJATO'!F5</f>
        <v>46477</v>
      </c>
      <c r="E75" s="13" t="str">
        <f>'CONTAINER HIDROJATO'!G5</f>
        <v>BC-26035</v>
      </c>
      <c r="F75" s="11">
        <f>'CONTAINER HIDROJATO'!H5</f>
        <v>46477</v>
      </c>
    </row>
    <row r="76" spans="1:6" ht="15.6" hidden="1" x14ac:dyDescent="0.3">
      <c r="A76" s="3" t="str">
        <f>'CONTAINER HIDROJATO'!A6</f>
        <v>JCFU100057-0</v>
      </c>
      <c r="B76" s="13" t="str">
        <f>'CONTAINER HIDROJATO'!D6</f>
        <v>BASE</v>
      </c>
      <c r="C76" s="13" t="str">
        <f>'CONTAINER HIDROJATO'!E6</f>
        <v>PARATY</v>
      </c>
      <c r="D76" s="11">
        <f>'CONTAINER HIDROJATO'!F6</f>
        <v>46540</v>
      </c>
      <c r="E76" s="13">
        <f>'CONTAINER HIDROJATO'!G6</f>
        <v>230800284</v>
      </c>
      <c r="F76" s="11">
        <f>'CONTAINER HIDROJATO'!H6</f>
        <v>46540</v>
      </c>
    </row>
    <row r="77" spans="1:6" ht="15.9" hidden="1" customHeight="1" x14ac:dyDescent="0.3">
      <c r="A77" s="3" t="str">
        <f>'CONTAINER HIDROJATO'!A7</f>
        <v>MLTU040145-0 (20PES)</v>
      </c>
      <c r="B77" s="13" t="str">
        <f>'CONTAINER HIDROJATO'!D7</f>
        <v>BASE</v>
      </c>
      <c r="C77" s="13" t="str">
        <f>'CONTAINER HIDROJATO'!E7</f>
        <v>BASE</v>
      </c>
      <c r="D77" s="11">
        <f>'CONTAINER HIDROJATO'!F7</f>
        <v>46429</v>
      </c>
      <c r="E77" s="13">
        <f>'CONTAINER HIDROJATO'!G7</f>
        <v>200204929</v>
      </c>
      <c r="F77" s="11">
        <f>'CONTAINER HIDROJATO'!H7</f>
        <v>46429</v>
      </c>
    </row>
    <row r="78" spans="1:6" ht="15.6" hidden="1" x14ac:dyDescent="0.3">
      <c r="A78" s="3" t="str">
        <f>MEMBRANA!A2</f>
        <v>DNV131001 - UGN.001</v>
      </c>
      <c r="B78" s="13" t="str">
        <f>MEMBRANA!C2</f>
        <v>CONTINENTAL</v>
      </c>
      <c r="C78" s="13" t="str">
        <f>MEMBRANA!D2</f>
        <v>CME USA</v>
      </c>
      <c r="D78" s="11">
        <f>MEMBRANA!E2</f>
        <v>45449</v>
      </c>
      <c r="E78" s="13" t="str">
        <f>MEMBRANA!F2</f>
        <v>S/ESLINGA</v>
      </c>
      <c r="F78" s="11" t="str">
        <f>MEMBRANA!G2</f>
        <v>S/ESLINGA</v>
      </c>
    </row>
    <row r="79" spans="1:6" ht="17.25" hidden="1" customHeight="1" x14ac:dyDescent="0.3">
      <c r="A79" s="3" t="str">
        <f>MEMBRANA!A3</f>
        <v>DNV181001 - UGN.002</v>
      </c>
      <c r="B79" s="13" t="str">
        <f>MEMBRANA!C3</f>
        <v>BASE</v>
      </c>
      <c r="C79" s="13" t="str">
        <f>MEMBRANA!D3</f>
        <v>BASE</v>
      </c>
      <c r="D79" s="11">
        <f>MEMBRANA!E3</f>
        <v>46477</v>
      </c>
      <c r="E79" s="13">
        <f>MEMBRANA!F3</f>
        <v>250300265</v>
      </c>
      <c r="F79" s="11">
        <f>MEMBRANA!G3</f>
        <v>46477</v>
      </c>
    </row>
    <row r="80" spans="1:6" ht="15.9" hidden="1" customHeight="1" x14ac:dyDescent="0.3">
      <c r="A80" s="3" t="str">
        <f>MEMBRANA!A4</f>
        <v>PCUU6950013 - UGN.003</v>
      </c>
      <c r="B80" s="13" t="e">
        <f>MEMBRANA!#REF!</f>
        <v>#REF!</v>
      </c>
      <c r="C80" s="13" t="e">
        <f>MEMBRANA!#REF!</f>
        <v>#REF!</v>
      </c>
      <c r="D80" s="11">
        <f>MEMBRANA!E4</f>
        <v>46477</v>
      </c>
      <c r="E80" s="13" t="str">
        <f>MEMBRANA!F4</f>
        <v>BC-59715</v>
      </c>
      <c r="F80" s="11">
        <f>MEMBRANA!G4</f>
        <v>46477</v>
      </c>
    </row>
    <row r="81" spans="1:6" ht="15.9" hidden="1" customHeight="1" x14ac:dyDescent="0.3">
      <c r="A81" s="3" t="str">
        <f>MEMBRANA!A5</f>
        <v>JCFU100024-5 - UGN.004</v>
      </c>
      <c r="B81" s="13" t="str">
        <f>MEMBRANA!C5</f>
        <v>CONTINENTAL</v>
      </c>
      <c r="C81" s="13" t="str">
        <f>MEMBRANA!D5</f>
        <v>CME USA</v>
      </c>
      <c r="D81" s="11">
        <f>MEMBRANA!E5</f>
        <v>45448</v>
      </c>
      <c r="E81" s="13" t="str">
        <f>MEMBRANA!F5</f>
        <v>S/ESLINGA</v>
      </c>
      <c r="F81" s="11" t="str">
        <f>MEMBRANA!G5</f>
        <v>S/ESLINGA</v>
      </c>
    </row>
    <row r="82" spans="1:6" ht="15.9" hidden="1" customHeight="1" x14ac:dyDescent="0.3">
      <c r="A82" s="3" t="str">
        <f>MEMBRANA!A6</f>
        <v>DNVU105162-4 - UGN.005</v>
      </c>
      <c r="B82" s="13" t="str">
        <f>MEMBRANA!C6</f>
        <v>BASE</v>
      </c>
      <c r="C82" s="13" t="str">
        <f>MEMBRANA!D6</f>
        <v>MV26</v>
      </c>
      <c r="D82" s="11">
        <f>MEMBRANA!E6</f>
        <v>46540</v>
      </c>
      <c r="E82" s="13" t="str">
        <f>MEMBRANA!F6</f>
        <v>L7-66644</v>
      </c>
      <c r="F82" s="11">
        <f>MEMBRANA!G6</f>
        <v>46540</v>
      </c>
    </row>
    <row r="83" spans="1:6" ht="15.6" hidden="1" x14ac:dyDescent="0.3">
      <c r="A83" s="3" t="str">
        <f>MEMBRANA!A7</f>
        <v>DNVU105234-3 - UGN.006</v>
      </c>
      <c r="B83" s="13" t="str">
        <f>MEMBRANA!C7</f>
        <v>BASE</v>
      </c>
      <c r="C83" s="13" t="str">
        <f>MEMBRANA!D7</f>
        <v>SAQUAREMA</v>
      </c>
      <c r="D83" s="11">
        <f>MEMBRANA!E7</f>
        <v>46478</v>
      </c>
      <c r="E83" s="13" t="str">
        <f>MEMBRANA!F7</f>
        <v>L7-69950</v>
      </c>
      <c r="F83" s="11">
        <f>MEMBRANA!G7</f>
        <v>46478</v>
      </c>
    </row>
    <row r="84" spans="1:6" ht="15.6" hidden="1" x14ac:dyDescent="0.3">
      <c r="A84" s="3" t="str">
        <f>MEMBRANA!A8</f>
        <v>DNVU105208-7 - UGN.007</v>
      </c>
      <c r="B84" s="13" t="str">
        <f>MEMBRANA!C8</f>
        <v>BASE</v>
      </c>
      <c r="C84" s="13" t="str">
        <f>MEMBRANA!D8</f>
        <v>MV26</v>
      </c>
      <c r="D84" s="11">
        <f>MEMBRANA!E8</f>
        <v>46429</v>
      </c>
      <c r="E84" s="13" t="str">
        <f>MEMBRANA!F8</f>
        <v>BC-59712</v>
      </c>
      <c r="F84" s="11">
        <f>MEMBRANA!G8</f>
        <v>46429</v>
      </c>
    </row>
    <row r="85" spans="1:6" ht="15.6" hidden="1" x14ac:dyDescent="0.3">
      <c r="A85" s="3" t="str">
        <f>MEMBRANA!A10</f>
        <v>CME-DNV-020 - UGN.009</v>
      </c>
      <c r="B85" s="13" t="str">
        <f>MEMBRANA!C10</f>
        <v>BASE</v>
      </c>
      <c r="C85" s="13" t="str">
        <f>MEMBRANA!D10</f>
        <v>BASE</v>
      </c>
      <c r="D85" s="11">
        <f>MEMBRANA!E10</f>
        <v>46477</v>
      </c>
      <c r="E85" s="13">
        <f>MEMBRANA!F10</f>
        <v>230800281</v>
      </c>
      <c r="F85" s="11">
        <f>MEMBRANA!G10</f>
        <v>46477</v>
      </c>
    </row>
    <row r="86" spans="1:6" ht="15.6" hidden="1" x14ac:dyDescent="0.3">
      <c r="A86" s="3" t="str">
        <f>MEMBRANA!A9</f>
        <v>CME-DNV-021 - UGN.008</v>
      </c>
      <c r="B86" s="13" t="str">
        <f>MEMBRANA!C9</f>
        <v>BASE</v>
      </c>
      <c r="C86" s="13" t="str">
        <f>MEMBRANA!D9</f>
        <v>ALM. TAMANDARE</v>
      </c>
      <c r="D86" s="11">
        <f>MEMBRANA!E9</f>
        <v>46477</v>
      </c>
      <c r="E86" s="13">
        <f>MEMBRANA!F9</f>
        <v>230800282</v>
      </c>
      <c r="F86" s="11">
        <f>MEMBRANA!G9</f>
        <v>46477</v>
      </c>
    </row>
    <row r="87" spans="1:6" ht="15.6" hidden="1" x14ac:dyDescent="0.3">
      <c r="A87" s="3" t="str">
        <f>MEMBRANA!A11</f>
        <v>CME-DNV-022 - (UGN.010)</v>
      </c>
      <c r="B87" s="13" t="str">
        <f>MEMBRANA!C11</f>
        <v>CONTINENTAL</v>
      </c>
      <c r="C87" s="13" t="str">
        <f>MEMBRANA!D11</f>
        <v>CME USA</v>
      </c>
      <c r="D87" s="11">
        <f>MEMBRANA!E11</f>
        <v>46070</v>
      </c>
      <c r="E87" s="13">
        <f>MEMBRANA!F11</f>
        <v>230800283</v>
      </c>
      <c r="F87" s="11">
        <f>MEMBRANA!G11</f>
        <v>46247</v>
      </c>
    </row>
    <row r="88" spans="1:6" ht="15.9" hidden="1" customHeight="1" x14ac:dyDescent="0.3">
      <c r="A88" s="3" t="str">
        <f>MEMBRANA!A12</f>
        <v>CME-DNV-023 - (UGN.011)</v>
      </c>
      <c r="B88" s="13" t="str">
        <f>MEMBRANA!C12</f>
        <v>CONTINENTAL</v>
      </c>
      <c r="C88" s="13" t="str">
        <f>MEMBRANA!D12</f>
        <v>CME USA</v>
      </c>
      <c r="D88" s="11">
        <f>MEMBRANA!E12</f>
        <v>46070</v>
      </c>
      <c r="E88" s="13" t="str">
        <f>MEMBRANA!F12</f>
        <v>S/ESLINGA</v>
      </c>
      <c r="F88" s="11">
        <f>MEMBRANA!G12</f>
        <v>46247</v>
      </c>
    </row>
    <row r="89" spans="1:6" ht="15.75" hidden="1" customHeight="1" x14ac:dyDescent="0.3">
      <c r="A89" s="3" t="str">
        <f>'QUAD GAS'!A2</f>
        <v>CME-DNV-QUAD.001</v>
      </c>
      <c r="B89" s="13" t="str">
        <f>'QUAD GAS'!D2</f>
        <v>BASE</v>
      </c>
      <c r="C89" s="13" t="str">
        <f>'QUAD GAS'!E2</f>
        <v>SAQUAREMA</v>
      </c>
      <c r="D89" s="11">
        <f>'QUAD GAS'!H2</f>
        <v>46477</v>
      </c>
      <c r="E89" s="13">
        <f>'QUAD GAS'!I2</f>
        <v>240108557</v>
      </c>
      <c r="F89" s="11">
        <f>'QUAD GAS'!J2</f>
        <v>46477</v>
      </c>
    </row>
    <row r="90" spans="1:6" ht="16.5" hidden="1" customHeight="1" x14ac:dyDescent="0.3">
      <c r="A90" s="3" t="str">
        <f>'QUAD GAS'!A3</f>
        <v>CME-DNV-QUAD.002</v>
      </c>
      <c r="B90" s="13" t="str">
        <f>'QUAD GAS'!D3</f>
        <v>BASE</v>
      </c>
      <c r="C90" s="13" t="str">
        <f>'QUAD GAS'!E3</f>
        <v>MV26</v>
      </c>
      <c r="D90" s="11">
        <f>'QUAD GAS'!H3</f>
        <v>46477</v>
      </c>
      <c r="E90" s="13">
        <f>'QUAD GAS'!I3</f>
        <v>240108558</v>
      </c>
      <c r="F90" s="11">
        <f>'QUAD GAS'!J3</f>
        <v>46477</v>
      </c>
    </row>
    <row r="91" spans="1:6" ht="16.5" hidden="1" customHeight="1" x14ac:dyDescent="0.3">
      <c r="A91" s="3" t="str">
        <f>'QUAD GAS'!A4</f>
        <v>CME-DNV-QUAD.003</v>
      </c>
      <c r="B91" s="13" t="str">
        <f>'QUAD GAS'!D4</f>
        <v>BASE</v>
      </c>
      <c r="C91" s="13" t="str">
        <f>'QUAD GAS'!E4</f>
        <v>BASE</v>
      </c>
      <c r="D91" s="11">
        <f>'QUAD GAS'!H4</f>
        <v>46540</v>
      </c>
      <c r="E91" s="13" t="str">
        <f>'QUAD GAS'!I4</f>
        <v>240108559</v>
      </c>
      <c r="F91" s="11">
        <f>'QUAD GAS'!J4</f>
        <v>46540</v>
      </c>
    </row>
    <row r="92" spans="1:6" ht="16.5" hidden="1" customHeight="1" x14ac:dyDescent="0.3">
      <c r="A92" s="3" t="str">
        <f>'QUAD GAS'!A5</f>
        <v>CME-DNV-QUAD.004</v>
      </c>
      <c r="B92" s="13" t="str">
        <f>'QUAD GAS'!D5</f>
        <v>MISC</v>
      </c>
      <c r="C92" s="13" t="str">
        <f>'QUAD GAS'!E5</f>
        <v>MDDC</v>
      </c>
      <c r="D92" s="11">
        <f>'QUAD GAS'!H5</f>
        <v>46154</v>
      </c>
      <c r="E92" s="13">
        <f>'QUAD GAS'!I5</f>
        <v>240108560</v>
      </c>
      <c r="F92" s="11">
        <f>'QUAD GAS'!J5</f>
        <v>46154</v>
      </c>
    </row>
    <row r="93" spans="1:6" ht="16.5" hidden="1" customHeight="1" x14ac:dyDescent="0.3">
      <c r="A93" s="3" t="str">
        <f>'QUAD GAS'!A6</f>
        <v>CME-DNV-QUAD.005</v>
      </c>
      <c r="B93" s="13" t="str">
        <f>'QUAD GAS'!D6</f>
        <v>BASE</v>
      </c>
      <c r="C93" s="13" t="str">
        <f>'QUAD GAS'!E6</f>
        <v>MV26</v>
      </c>
      <c r="D93" s="11">
        <f>'QUAD GAS'!H6</f>
        <v>46477</v>
      </c>
      <c r="E93" s="13">
        <f>'QUAD GAS'!I6</f>
        <v>240108561</v>
      </c>
      <c r="F93" s="11">
        <f>'QUAD GAS'!J6</f>
        <v>46477</v>
      </c>
    </row>
    <row r="94" spans="1:6" ht="16.5" hidden="1" customHeight="1" x14ac:dyDescent="0.3">
      <c r="A94" s="3" t="str">
        <f>'QUAD GAS'!A7</f>
        <v>CME-DNV-QUAD.006</v>
      </c>
      <c r="B94" s="13" t="str">
        <f>'QUAD GAS'!D7</f>
        <v>BASE</v>
      </c>
      <c r="C94" s="13" t="str">
        <f>'QUAD GAS'!E7</f>
        <v>MV26</v>
      </c>
      <c r="D94" s="11">
        <f>'QUAD GAS'!H7</f>
        <v>46477</v>
      </c>
      <c r="E94" s="13" t="str">
        <f>'QUAD GAS'!I7</f>
        <v>240108562</v>
      </c>
      <c r="F94" s="11">
        <f>'QUAD GAS'!J7</f>
        <v>46477</v>
      </c>
    </row>
    <row r="95" spans="1:6" ht="16.5" hidden="1" customHeight="1" x14ac:dyDescent="0.3">
      <c r="A95" s="3" t="str">
        <f>'QUAD GAS'!A8</f>
        <v>CME-DNV-QUAD.007</v>
      </c>
      <c r="B95" s="13" t="str">
        <f>'QUAD GAS'!D8</f>
        <v>BASE</v>
      </c>
      <c r="C95" s="13" t="str">
        <f>'QUAD GAS'!E8</f>
        <v>MV26</v>
      </c>
      <c r="D95" s="11">
        <f>'QUAD GAS'!H8</f>
        <v>46477</v>
      </c>
      <c r="E95" s="13">
        <f>'QUAD GAS'!I8</f>
        <v>240108563</v>
      </c>
      <c r="F95" s="11">
        <f>'QUAD GAS'!J8</f>
        <v>46477</v>
      </c>
    </row>
    <row r="96" spans="1:6" ht="16.5" hidden="1" customHeight="1" x14ac:dyDescent="0.3">
      <c r="A96" s="3" t="str">
        <f>'QUAD GAS'!A9</f>
        <v>CME-DNV-QUAD.008</v>
      </c>
      <c r="B96" s="13" t="str">
        <f>'QUAD GAS'!D9</f>
        <v>BASE</v>
      </c>
      <c r="C96" s="13" t="str">
        <f>'QUAD GAS'!E9</f>
        <v>BASE</v>
      </c>
      <c r="D96" s="11">
        <f>'QUAD GAS'!H9</f>
        <v>46477</v>
      </c>
      <c r="E96" s="13">
        <f>'QUAD GAS'!I9</f>
        <v>240108564</v>
      </c>
      <c r="F96" s="11">
        <f>'QUAD GAS'!J9</f>
        <v>46477</v>
      </c>
    </row>
    <row r="97" spans="1:6" ht="16.5" hidden="1" customHeight="1" x14ac:dyDescent="0.3">
      <c r="A97" s="3" t="str">
        <f>'QUAD GAS'!A10</f>
        <v>CME-DNV-QUAD.009</v>
      </c>
      <c r="B97" s="13" t="str">
        <f>'QUAD GAS'!D10</f>
        <v>BASE</v>
      </c>
      <c r="C97" s="13" t="str">
        <f>'QUAD GAS'!E10</f>
        <v>BASE</v>
      </c>
      <c r="D97" s="11">
        <f>'QUAD GAS'!H10</f>
        <v>46477</v>
      </c>
      <c r="E97" s="13">
        <f>'QUAD GAS'!I10</f>
        <v>240108565</v>
      </c>
      <c r="F97" s="11">
        <f>'QUAD GAS'!J10</f>
        <v>46477</v>
      </c>
    </row>
    <row r="98" spans="1:6" ht="16.5" hidden="1" customHeight="1" x14ac:dyDescent="0.3">
      <c r="A98" s="3" t="str">
        <f>'QUAD GAS'!A11</f>
        <v>CME-DNV-QUAD.010</v>
      </c>
      <c r="B98" s="13" t="str">
        <f>'QUAD GAS'!D11</f>
        <v>BASE</v>
      </c>
      <c r="C98" s="13" t="str">
        <f>'QUAD GAS'!E11</f>
        <v>BASE</v>
      </c>
      <c r="D98" s="11">
        <f>'QUAD GAS'!H11</f>
        <v>46479</v>
      </c>
      <c r="E98" s="13">
        <f>'QUAD GAS'!I11</f>
        <v>240108566</v>
      </c>
      <c r="F98" s="11">
        <f>'QUAD GAS'!J11</f>
        <v>46479</v>
      </c>
    </row>
    <row r="99" spans="1:6" ht="16.5" hidden="1" customHeight="1" x14ac:dyDescent="0.3">
      <c r="A99" s="3" t="str">
        <f>'QUAD GAS'!A12</f>
        <v>CME-DNV-QUAD.011</v>
      </c>
      <c r="B99" s="13" t="str">
        <f>'QUAD GAS'!D12</f>
        <v>BASE</v>
      </c>
      <c r="C99" s="13" t="str">
        <f>'QUAD GAS'!E12</f>
        <v>SAQUAREMA</v>
      </c>
      <c r="D99" s="11">
        <f>'QUAD GAS'!H12</f>
        <v>46477</v>
      </c>
      <c r="E99" s="13">
        <f>'QUAD GAS'!I12</f>
        <v>240108567</v>
      </c>
      <c r="F99" s="11">
        <f>'QUAD GAS'!J12</f>
        <v>46477</v>
      </c>
    </row>
    <row r="100" spans="1:6" ht="16.5" hidden="1" customHeight="1" x14ac:dyDescent="0.3">
      <c r="A100" s="3" t="str">
        <f>'QUAD GAS'!A13</f>
        <v>CME-DNV-QUAD.012</v>
      </c>
      <c r="B100" s="13" t="str">
        <f>'QUAD GAS'!D13</f>
        <v>BASE</v>
      </c>
      <c r="C100" s="13" t="str">
        <f>'QUAD GAS'!E13</f>
        <v>SAQUAREMA</v>
      </c>
      <c r="D100" s="11">
        <f>'QUAD GAS'!H13</f>
        <v>46477</v>
      </c>
      <c r="E100" s="13">
        <f>'QUAD GAS'!I13</f>
        <v>240108568</v>
      </c>
      <c r="F100" s="11">
        <f>'QUAD GAS'!J13</f>
        <v>46477</v>
      </c>
    </row>
    <row r="101" spans="1:6" ht="16.5" hidden="1" customHeight="1" x14ac:dyDescent="0.3">
      <c r="A101" s="3" t="str">
        <f>'QUAD GAS'!A14</f>
        <v>CME-DNV-QUAD.013</v>
      </c>
      <c r="B101" s="13" t="str">
        <f>'QUAD GAS'!D14</f>
        <v>BASE</v>
      </c>
      <c r="C101" s="13" t="str">
        <f>'QUAD GAS'!E14</f>
        <v>SAQUAREMA</v>
      </c>
      <c r="D101" s="11">
        <f>'QUAD GAS'!H14</f>
        <v>46477</v>
      </c>
      <c r="E101" s="13">
        <f>'QUAD GAS'!I14</f>
        <v>240108569</v>
      </c>
      <c r="F101" s="11">
        <f>'QUAD GAS'!J14</f>
        <v>46477</v>
      </c>
    </row>
    <row r="102" spans="1:6" ht="16.5" hidden="1" customHeight="1" x14ac:dyDescent="0.3">
      <c r="A102" s="3" t="str">
        <f>'QUAD GAS'!A15</f>
        <v>CME-DNV-QUAD.014</v>
      </c>
      <c r="B102" s="13" t="str">
        <f>'QUAD GAS'!D15</f>
        <v>BASE</v>
      </c>
      <c r="C102" s="13" t="str">
        <f>'QUAD GAS'!E15</f>
        <v>MV26</v>
      </c>
      <c r="D102" s="11">
        <f>'QUAD GAS'!H15</f>
        <v>46478</v>
      </c>
      <c r="E102" s="13">
        <f>'QUAD GAS'!I15</f>
        <v>240108570</v>
      </c>
      <c r="F102" s="11">
        <f>'QUAD GAS'!J15</f>
        <v>46478</v>
      </c>
    </row>
    <row r="103" spans="1:6" ht="16.5" hidden="1" customHeight="1" x14ac:dyDescent="0.3">
      <c r="A103" s="3" t="str">
        <f>'QUAD GAS'!A16</f>
        <v>CME-DNV-QUAD.015</v>
      </c>
      <c r="B103" s="13" t="str">
        <f>'QUAD GAS'!D16</f>
        <v>BASE</v>
      </c>
      <c r="C103" s="13" t="str">
        <f>'QUAD GAS'!E16</f>
        <v>BASE</v>
      </c>
      <c r="D103" s="11">
        <f>'QUAD GAS'!H16</f>
        <v>46477</v>
      </c>
      <c r="E103" s="13">
        <f>'QUAD GAS'!I16</f>
        <v>240108571</v>
      </c>
      <c r="F103" s="11">
        <f>'QUAD GAS'!J16</f>
        <v>46477</v>
      </c>
    </row>
    <row r="104" spans="1:6" ht="16.5" hidden="1" customHeight="1" x14ac:dyDescent="0.3">
      <c r="A104" s="3" t="str">
        <f>'QUAD GAS'!A17</f>
        <v>CME-DNV-QUAD.016</v>
      </c>
      <c r="B104" s="13" t="str">
        <f>'QUAD GAS'!D17</f>
        <v>BASE</v>
      </c>
      <c r="C104" s="13" t="str">
        <f>'QUAD GAS'!E17</f>
        <v>ALM. TAMANDARE</v>
      </c>
      <c r="D104" s="11">
        <f>'QUAD GAS'!H17</f>
        <v>46477</v>
      </c>
      <c r="E104" s="13">
        <f>'QUAD GAS'!I17</f>
        <v>240108572</v>
      </c>
      <c r="F104" s="11">
        <f>'QUAD GAS'!J17</f>
        <v>46477</v>
      </c>
    </row>
    <row r="105" spans="1:6" ht="16.5" hidden="1" customHeight="1" x14ac:dyDescent="0.3">
      <c r="A105" s="3" t="str">
        <f>'QUAD GAS'!A18</f>
        <v>CME-DNV-QUAD.017</v>
      </c>
      <c r="B105" s="13" t="str">
        <f>'QUAD GAS'!D18</f>
        <v>BASE</v>
      </c>
      <c r="C105" s="13" t="str">
        <f>'QUAD GAS'!E18</f>
        <v>MDDC</v>
      </c>
      <c r="D105" s="11">
        <f>'QUAD GAS'!H18</f>
        <v>46477</v>
      </c>
      <c r="E105" s="13">
        <f>'QUAD GAS'!I18</f>
        <v>240108573</v>
      </c>
      <c r="F105" s="11">
        <f>'QUAD GAS'!J18</f>
        <v>46477</v>
      </c>
    </row>
    <row r="106" spans="1:6" ht="16.5" hidden="1" customHeight="1" x14ac:dyDescent="0.3">
      <c r="A106" s="3" t="str">
        <f>'QUAD GAS'!A19</f>
        <v>CME-DNV-QUAD.018</v>
      </c>
      <c r="B106" s="13" t="str">
        <f>'QUAD GAS'!D19</f>
        <v>BASE</v>
      </c>
      <c r="C106" s="13" t="str">
        <f>'QUAD GAS'!E19</f>
        <v>BASE</v>
      </c>
      <c r="D106" s="11">
        <f>'QUAD GAS'!H19</f>
        <v>46477</v>
      </c>
      <c r="E106" s="13">
        <f>'QUAD GAS'!I19</f>
        <v>240108574</v>
      </c>
      <c r="F106" s="11">
        <f>'QUAD GAS'!J19</f>
        <v>46477</v>
      </c>
    </row>
    <row r="107" spans="1:6" ht="16.5" hidden="1" customHeight="1" x14ac:dyDescent="0.3">
      <c r="A107" s="3" t="str">
        <f>'QUAD GAS'!A20</f>
        <v>CME-DNV-QUAD.019</v>
      </c>
      <c r="B107" s="13" t="str">
        <f>'QUAD GAS'!D20</f>
        <v>BASE</v>
      </c>
      <c r="C107" s="13" t="str">
        <f>'QUAD GAS'!E20</f>
        <v>BASE</v>
      </c>
      <c r="D107" s="11">
        <f>'QUAD GAS'!H20</f>
        <v>46540</v>
      </c>
      <c r="E107" s="13" t="str">
        <f>'QUAD GAS'!I20</f>
        <v>240108575</v>
      </c>
      <c r="F107" s="11">
        <f>'QUAD GAS'!J20</f>
        <v>46540</v>
      </c>
    </row>
    <row r="108" spans="1:6" ht="16.5" hidden="1" customHeight="1" x14ac:dyDescent="0.3">
      <c r="A108" s="3" t="str">
        <f>'QUAD GAS'!A21</f>
        <v>CME-DNV-QUAD.020</v>
      </c>
      <c r="B108" s="13" t="str">
        <f>'QUAD GAS'!D21</f>
        <v>BASE</v>
      </c>
      <c r="C108" s="13" t="str">
        <f>'QUAD GAS'!E21</f>
        <v>BASE</v>
      </c>
      <c r="D108" s="11">
        <f>'QUAD GAS'!H21</f>
        <v>46478</v>
      </c>
      <c r="E108" s="13">
        <f>'QUAD GAS'!I21</f>
        <v>240108576</v>
      </c>
      <c r="F108" s="11">
        <f>'QUAD GAS'!J21</f>
        <v>46478</v>
      </c>
    </row>
    <row r="109" spans="1:6" ht="16.5" hidden="1" customHeight="1" x14ac:dyDescent="0.3">
      <c r="A109" s="3" t="str">
        <f>'QUAD GAS'!A22</f>
        <v>R16-13-23287</v>
      </c>
      <c r="B109" s="13" t="str">
        <f>'QUAD GAS'!D22</f>
        <v>BASE</v>
      </c>
      <c r="C109" s="13" t="str">
        <f>'QUAD GAS'!E22</f>
        <v>MV26</v>
      </c>
      <c r="D109" s="11">
        <f>'QUAD GAS'!H22</f>
        <v>46429</v>
      </c>
      <c r="E109" s="13">
        <f>'QUAD GAS'!I22</f>
        <v>2049</v>
      </c>
      <c r="F109" s="11">
        <f>'QUAD GAS'!J22</f>
        <v>46429</v>
      </c>
    </row>
    <row r="110" spans="1:6" ht="16.5" hidden="1" customHeight="1" x14ac:dyDescent="0.3">
      <c r="A110" s="3" t="str">
        <f>COMPRESSORES!A2</f>
        <v>CME-AIR-COMP.001</v>
      </c>
      <c r="B110" s="13" t="str">
        <f>COMPRESSORES!C2</f>
        <v>BASE</v>
      </c>
      <c r="C110" s="13" t="str">
        <f>COMPRESSORES!D2</f>
        <v>MV26</v>
      </c>
      <c r="D110" s="11">
        <f>COMPRESSORES!E2</f>
        <v>46539</v>
      </c>
      <c r="E110" s="13" t="str">
        <f>COMPRESSORES!F2</f>
        <v>L7-59689</v>
      </c>
      <c r="F110" s="11">
        <f>COMPRESSORES!G2</f>
        <v>46539</v>
      </c>
    </row>
    <row r="111" spans="1:6" ht="16.5" hidden="1" customHeight="1" x14ac:dyDescent="0.3">
      <c r="A111" s="3" t="str">
        <f>COMPRESSORES!A3</f>
        <v>CME-AIR-COMP.002</v>
      </c>
      <c r="B111" s="13" t="str">
        <f>COMPRESSORES!C3</f>
        <v>BASE</v>
      </c>
      <c r="C111" s="13" t="str">
        <f>COMPRESSORES!D3</f>
        <v>MV26</v>
      </c>
      <c r="D111" s="11">
        <f>COMPRESSORES!E3</f>
        <v>46428</v>
      </c>
      <c r="E111" s="13" t="str">
        <f>COMPRESSORES!F3</f>
        <v>BC-2412784</v>
      </c>
      <c r="F111" s="11">
        <f>COMPRESSORES!G3</f>
        <v>46428</v>
      </c>
    </row>
    <row r="112" spans="1:6" ht="16.5" hidden="1" customHeight="1" x14ac:dyDescent="0.3">
      <c r="A112" s="3" t="str">
        <f>COMPRESSORES!A4</f>
        <v>CME-AIR-COMP.003</v>
      </c>
      <c r="B112" s="13" t="str">
        <f>COMPRESSORES!C4</f>
        <v>BASE</v>
      </c>
      <c r="C112" s="13" t="str">
        <f>COMPRESSORES!D4</f>
        <v>BASE</v>
      </c>
      <c r="D112" s="11">
        <f>COMPRESSORES!E4</f>
        <v>46428</v>
      </c>
      <c r="E112" s="13" t="str">
        <f>COMPRESSORES!F4</f>
        <v>BC-2412785</v>
      </c>
      <c r="F112" s="11">
        <f>COMPRESSORES!G4</f>
        <v>46428</v>
      </c>
    </row>
    <row r="113" spans="1:6" ht="16.5" hidden="1" customHeight="1" x14ac:dyDescent="0.3">
      <c r="A113" s="3" t="str">
        <f>COMPRESSORES!A5</f>
        <v>CME-AIR-COMP.004</v>
      </c>
      <c r="B113" s="13" t="str">
        <f>COMPRESSORES!C5</f>
        <v>BASE</v>
      </c>
      <c r="C113" s="13" t="str">
        <f>COMPRESSORES!D5</f>
        <v>BASE</v>
      </c>
      <c r="D113" s="11">
        <f>COMPRESSORES!E5</f>
        <v>46428</v>
      </c>
      <c r="E113" s="13">
        <f>COMPRESSORES!F5</f>
        <v>2529</v>
      </c>
      <c r="F113" s="11">
        <f>COMPRESSORES!G5</f>
        <v>46428</v>
      </c>
    </row>
    <row r="114" spans="1:6" ht="16.5" hidden="1" customHeight="1" x14ac:dyDescent="0.3">
      <c r="A114" s="3" t="str">
        <f>COMPRESSORES!A6</f>
        <v>CME-AIR-COMP.005</v>
      </c>
      <c r="B114" s="13" t="str">
        <f>COMPRESSORES!C6</f>
        <v>BASE</v>
      </c>
      <c r="C114" s="13" t="str">
        <f>COMPRESSORES!D6</f>
        <v>MV26</v>
      </c>
      <c r="D114" s="11">
        <f>COMPRESSORES!E6</f>
        <v>46463</v>
      </c>
      <c r="E114" s="13" t="str">
        <f>COMPRESSORES!F6</f>
        <v>BC-2303865</v>
      </c>
      <c r="F114" s="11">
        <f>COMPRESSORES!G6</f>
        <v>46463</v>
      </c>
    </row>
    <row r="115" spans="1:6" ht="16.5" hidden="1" customHeight="1" x14ac:dyDescent="0.3">
      <c r="A115" s="3" t="str">
        <f>COMPRESSORES!A7</f>
        <v>CME-AIR-COMP.006</v>
      </c>
      <c r="B115" s="13" t="str">
        <f>COMPRESSORES!C7</f>
        <v>BASE</v>
      </c>
      <c r="C115" s="13" t="str">
        <f>COMPRESSORES!D7</f>
        <v>BASE</v>
      </c>
      <c r="D115" s="11">
        <f>COMPRESSORES!E7</f>
        <v>46463</v>
      </c>
      <c r="E115" s="13" t="str">
        <f>COMPRESSORES!F7</f>
        <v>L7-59638</v>
      </c>
      <c r="F115" s="11">
        <f>COMPRESSORES!G7</f>
        <v>46463</v>
      </c>
    </row>
    <row r="116" spans="1:6" ht="16.5" hidden="1" customHeight="1" x14ac:dyDescent="0.3">
      <c r="A116" s="3" t="str">
        <f>COMPRESSORES!A8</f>
        <v>CME-AIR-COMP.007</v>
      </c>
      <c r="B116" s="13" t="str">
        <f>COMPRESSORES!C8</f>
        <v>BASE</v>
      </c>
      <c r="C116" s="13" t="str">
        <f>COMPRESSORES!D8</f>
        <v>BASE</v>
      </c>
      <c r="D116" s="11">
        <f>COMPRESSORES!E8</f>
        <v>46463</v>
      </c>
      <c r="E116" s="13" t="str">
        <f>COMPRESSORES!F8</f>
        <v>10448-2</v>
      </c>
      <c r="F116" s="11">
        <f>COMPRESSORES!G8</f>
        <v>46463</v>
      </c>
    </row>
    <row r="117" spans="1:6" ht="16.5" hidden="1" customHeight="1" x14ac:dyDescent="0.3">
      <c r="A117" s="3" t="str">
        <f>COMPRESSORES!A9</f>
        <v>CME-AIR-COMP.008</v>
      </c>
      <c r="B117" s="13" t="str">
        <f>COMPRESSORES!C9</f>
        <v>BASE</v>
      </c>
      <c r="C117" s="13" t="str">
        <f>COMPRESSORES!D9</f>
        <v>BASE</v>
      </c>
      <c r="D117" s="11" t="str">
        <f>COMPRESSORES!E9</f>
        <v>S/ESLINGA</v>
      </c>
      <c r="E117" s="13" t="str">
        <f>COMPRESSORES!F9</f>
        <v>S/ESLINGA</v>
      </c>
      <c r="F117" s="11" t="str">
        <f>COMPRESSORES!G9</f>
        <v>S/ESLINGA</v>
      </c>
    </row>
    <row r="118" spans="1:6" ht="16.5" hidden="1" customHeight="1" x14ac:dyDescent="0.3">
      <c r="A118" s="3" t="str">
        <f>COMPRESSORES!A10</f>
        <v>CME-AIR-COMP.009</v>
      </c>
      <c r="B118" s="13" t="str">
        <f>COMPRESSORES!C10</f>
        <v>BASE</v>
      </c>
      <c r="C118" s="13" t="str">
        <f>COMPRESSORES!D10</f>
        <v>MV26</v>
      </c>
      <c r="D118" s="11">
        <f>COMPRESSORES!E10</f>
        <v>46539</v>
      </c>
      <c r="E118" s="13">
        <f>COMPRESSORES!F10</f>
        <v>168487</v>
      </c>
      <c r="F118" s="11">
        <f>COMPRESSORES!G10</f>
        <v>46539</v>
      </c>
    </row>
    <row r="119" spans="1:6" ht="16.5" hidden="1" customHeight="1" x14ac:dyDescent="0.3">
      <c r="A119" s="3" t="str">
        <f>COMPRESSORES!A11</f>
        <v>CME-AIR-COMP.010</v>
      </c>
      <c r="B119" s="13" t="str">
        <f>COMPRESSORES!C11</f>
        <v>BASE</v>
      </c>
      <c r="C119" s="13" t="str">
        <f>COMPRESSORES!D11</f>
        <v>BASE</v>
      </c>
      <c r="D119" s="11">
        <f>COMPRESSORES!E11</f>
        <v>46428</v>
      </c>
      <c r="E119" s="13" t="str">
        <f>COMPRESSORES!F11</f>
        <v>L7-68383</v>
      </c>
      <c r="F119" s="11">
        <f>COMPRESSORES!G11</f>
        <v>46428</v>
      </c>
    </row>
    <row r="120" spans="1:6" ht="16.5" hidden="1" customHeight="1" x14ac:dyDescent="0.3">
      <c r="A120" s="3" t="str">
        <f>COMPRESSORES!A12</f>
        <v>CME-AIR-COMP.011</v>
      </c>
      <c r="B120" s="13" t="str">
        <f>COMPRESSORES!C12</f>
        <v>BASE</v>
      </c>
      <c r="C120" s="13" t="str">
        <f>COMPRESSORES!D12</f>
        <v>BASE</v>
      </c>
      <c r="D120" s="11">
        <f>COMPRESSORES!E12</f>
        <v>46428</v>
      </c>
      <c r="E120" s="13" t="str">
        <f>COMPRESSORES!F12</f>
        <v>BC-2412783</v>
      </c>
      <c r="F120" s="11">
        <f>COMPRESSORES!G12</f>
        <v>46428</v>
      </c>
    </row>
    <row r="121" spans="1:6" ht="16.5" hidden="1" customHeight="1" x14ac:dyDescent="0.3">
      <c r="A121" s="3" t="str">
        <f>COMPRESSORES!A13</f>
        <v>CME-AIR-COMP.012</v>
      </c>
      <c r="B121" s="13" t="str">
        <f>COMPRESSORES!C13</f>
        <v>BASE</v>
      </c>
      <c r="C121" s="13" t="str">
        <f>COMPRESSORES!D13</f>
        <v>BASE</v>
      </c>
      <c r="D121" s="11">
        <f>COMPRESSORES!E13</f>
        <v>46228</v>
      </c>
      <c r="E121" s="13" t="str">
        <f>COMPRESSORES!F13</f>
        <v>10448-3</v>
      </c>
      <c r="F121" s="11">
        <f>COMPRESSORES!G13</f>
        <v>46228</v>
      </c>
    </row>
    <row r="122" spans="1:6" ht="16.5" hidden="1" customHeight="1" x14ac:dyDescent="0.3">
      <c r="A122" s="3" t="str">
        <f>COMPRESSORES!A14</f>
        <v>CME-AIR-COMP.013</v>
      </c>
      <c r="B122" s="13" t="str">
        <f>COMPRESSORES!C14</f>
        <v>BASE</v>
      </c>
      <c r="C122" s="13" t="str">
        <f>COMPRESSORES!D14</f>
        <v>BASE</v>
      </c>
      <c r="D122" s="11">
        <f>COMPRESSORES!E14</f>
        <v>46428</v>
      </c>
      <c r="E122" s="13" t="str">
        <f>COMPRESSORES!F14</f>
        <v>SOS12A/00855</v>
      </c>
      <c r="F122" s="11">
        <f>COMPRESSORES!G14</f>
        <v>46428</v>
      </c>
    </row>
    <row r="123" spans="1:6" ht="16.5" hidden="1" customHeight="1" x14ac:dyDescent="0.3">
      <c r="A123" s="3" t="str">
        <f>COMPRESSORES!A15</f>
        <v>CME-AIR-COMP.014</v>
      </c>
      <c r="B123" s="13" t="str">
        <f>COMPRESSORES!C15</f>
        <v>BASE</v>
      </c>
      <c r="C123" s="13" t="str">
        <f>COMPRESSORES!D15</f>
        <v>BASE</v>
      </c>
      <c r="D123" s="11">
        <f>COMPRESSORES!E15</f>
        <v>45829</v>
      </c>
      <c r="E123" s="13" t="str">
        <f>COMPRESSORES!F15</f>
        <v>S/ESLINGA</v>
      </c>
      <c r="F123" s="11" t="str">
        <f>COMPRESSORES!G15</f>
        <v>S/ESLINGA</v>
      </c>
    </row>
    <row r="124" spans="1:6" ht="16.5" hidden="1" customHeight="1" x14ac:dyDescent="0.3">
      <c r="A124" s="3" t="str">
        <f>COMPRESSORES!A16</f>
        <v>CME-AIR-COMP.015</v>
      </c>
      <c r="B124" s="13" t="str">
        <f>COMPRESSORES!C16</f>
        <v>SBM</v>
      </c>
      <c r="C124" s="13" t="str">
        <f>COMPRESSORES!D16</f>
        <v>ANCHIETA</v>
      </c>
      <c r="D124" s="11">
        <f>COMPRESSORES!E16</f>
        <v>46437</v>
      </c>
      <c r="E124" s="13">
        <f>COMPRESSORES!F16</f>
        <v>708621</v>
      </c>
      <c r="F124" s="11">
        <f>COMPRESSORES!G16</f>
        <v>46437</v>
      </c>
    </row>
    <row r="125" spans="1:6" ht="16.5" hidden="1" customHeight="1" x14ac:dyDescent="0.3">
      <c r="A125" s="3" t="str">
        <f>COMPRESSORES!A17</f>
        <v>CME-AIR-COMP.016</v>
      </c>
      <c r="B125" s="13" t="str">
        <f>COMPRESSORES!C17</f>
        <v>SBM</v>
      </c>
      <c r="C125" s="13" t="str">
        <f>COMPRESSORES!D17</f>
        <v>ANCHIETA</v>
      </c>
      <c r="D125" s="11">
        <f>COMPRESSORES!E17</f>
        <v>46442</v>
      </c>
      <c r="E125" s="13" t="str">
        <f>COMPRESSORES!F17</f>
        <v>BC-2302943</v>
      </c>
      <c r="F125" s="11">
        <f>COMPRESSORES!G17</f>
        <v>46442</v>
      </c>
    </row>
    <row r="126" spans="1:6" ht="16.5" hidden="1" customHeight="1" x14ac:dyDescent="0.3">
      <c r="A126" s="3" t="str">
        <f>COMPRESSORES!A18</f>
        <v>CME-AIR-COMP.017</v>
      </c>
      <c r="B126" s="13" t="str">
        <f>COMPRESSORES!C18</f>
        <v>BASE</v>
      </c>
      <c r="C126" s="13" t="str">
        <f>COMPRESSORES!D18</f>
        <v>MV26</v>
      </c>
      <c r="D126" s="11">
        <f>COMPRESSORES!E18</f>
        <v>46463</v>
      </c>
      <c r="E126" s="13" t="str">
        <f>COMPRESSORES!F18</f>
        <v>BC-2304204</v>
      </c>
      <c r="F126" s="11">
        <f>COMPRESSORES!G18</f>
        <v>46463</v>
      </c>
    </row>
    <row r="127" spans="1:6" ht="16.5" hidden="1" customHeight="1" x14ac:dyDescent="0.3">
      <c r="A127" s="3" t="str">
        <f>COMPRESSORES!A19</f>
        <v>CME-AIR-COMP.018</v>
      </c>
      <c r="B127" s="13" t="str">
        <f>COMPRESSORES!C19</f>
        <v>BASE</v>
      </c>
      <c r="C127" s="13" t="str">
        <f>COMPRESSORES!D19</f>
        <v>FPSO VITORIA</v>
      </c>
      <c r="D127" s="11">
        <f>COMPRESSORES!E19</f>
        <v>46463</v>
      </c>
      <c r="E127" s="13" t="str">
        <f>COMPRESSORES!F19</f>
        <v>BC-2302944</v>
      </c>
      <c r="F127" s="11">
        <f>COMPRESSORES!G19</f>
        <v>46463</v>
      </c>
    </row>
    <row r="128" spans="1:6" ht="16.5" hidden="1" customHeight="1" x14ac:dyDescent="0.3">
      <c r="A128" s="3" t="str">
        <f>COMPRESSORES!A20</f>
        <v>CME-AIR-COMP.019</v>
      </c>
      <c r="B128" s="13" t="str">
        <f>COMPRESSORES!C20</f>
        <v>BASE</v>
      </c>
      <c r="C128" s="13" t="str">
        <f>COMPRESSORES!D20</f>
        <v>BASE</v>
      </c>
      <c r="D128" s="11">
        <f>COMPRESSORES!E20</f>
        <v>46477</v>
      </c>
      <c r="E128" s="13" t="str">
        <f>COMPRESSORES!F20</f>
        <v>BC-2412786</v>
      </c>
      <c r="F128" s="11">
        <f>COMPRESSORES!G20</f>
        <v>46477</v>
      </c>
    </row>
    <row r="129" spans="1:6" ht="16.5" hidden="1" customHeight="1" x14ac:dyDescent="0.3">
      <c r="A129" s="3" t="str">
        <f>COMPRESSORES!A21</f>
        <v>CME-AIR-COMP.020</v>
      </c>
      <c r="B129" s="13" t="str">
        <f>COMPRESSORES!C21</f>
        <v>BASE</v>
      </c>
      <c r="C129" s="13" t="str">
        <f>COMPRESSORES!D21</f>
        <v>BASE</v>
      </c>
      <c r="D129" s="11">
        <f>COMPRESSORES!E21</f>
        <v>46477</v>
      </c>
      <c r="E129" s="13" t="str">
        <f>COMPRESSORES!F21</f>
        <v>210303897</v>
      </c>
      <c r="F129" s="11">
        <f>COMPRESSORES!G21</f>
        <v>46477</v>
      </c>
    </row>
    <row r="130" spans="1:6" ht="16.5" hidden="1" customHeight="1" x14ac:dyDescent="0.3">
      <c r="A130" s="3" t="str">
        <f>COMPRESSORES!A22</f>
        <v>CME-AIR-COMP.021</v>
      </c>
      <c r="B130" s="13" t="str">
        <f>COMPRESSORES!C22</f>
        <v>BASE</v>
      </c>
      <c r="C130" s="13" t="str">
        <f>COMPRESSORES!D22</f>
        <v>ALM. TAMANDARE</v>
      </c>
      <c r="D130" s="11">
        <f>COMPRESSORES!E22</f>
        <v>46428</v>
      </c>
      <c r="E130" s="13" t="str">
        <f>COMPRESSORES!F22</f>
        <v>231204565</v>
      </c>
      <c r="F130" s="11">
        <f>COMPRESSORES!G22</f>
        <v>46428</v>
      </c>
    </row>
    <row r="131" spans="1:6" ht="16.5" hidden="1" customHeight="1" x14ac:dyDescent="0.3">
      <c r="A131" s="3" t="str">
        <f>COMPRESSORES!A23</f>
        <v>CME-AIR-COMP.022</v>
      </c>
      <c r="B131" s="13" t="str">
        <f>COMPRESSORES!C23</f>
        <v>BASE</v>
      </c>
      <c r="C131" s="13" t="str">
        <f>COMPRESSORES!D23</f>
        <v>ALM. TAMANDARE</v>
      </c>
      <c r="D131" s="11">
        <f>COMPRESSORES!E23</f>
        <v>46428</v>
      </c>
      <c r="E131" s="13" t="str">
        <f>COMPRESSORES!F23</f>
        <v>231204564</v>
      </c>
      <c r="F131" s="11">
        <f>COMPRESSORES!G23</f>
        <v>46428</v>
      </c>
    </row>
    <row r="132" spans="1:6" ht="16.5" hidden="1" customHeight="1" x14ac:dyDescent="0.3">
      <c r="A132" s="3" t="str">
        <f>SAAD!A2</f>
        <v>CME-SAAD.001</v>
      </c>
      <c r="B132" s="13" t="str">
        <f>SAAD!C2</f>
        <v>BASE</v>
      </c>
      <c r="C132" s="13" t="str">
        <f>SAAD!D2</f>
        <v>BASE</v>
      </c>
      <c r="D132" s="11">
        <f>SAAD!E2</f>
        <v>45210</v>
      </c>
      <c r="E132" s="13" t="str">
        <f>SAAD!F2</f>
        <v>S/ESLINGA</v>
      </c>
      <c r="F132" s="11" t="str">
        <f>SAAD!G2</f>
        <v>S/ESLINGA</v>
      </c>
    </row>
    <row r="133" spans="1:6" ht="16.5" hidden="1" customHeight="1" x14ac:dyDescent="0.3">
      <c r="A133" s="3" t="str">
        <f>SAAD!A3</f>
        <v>CME-SAAD.002</v>
      </c>
      <c r="B133" s="13" t="str">
        <f>SAAD!C3</f>
        <v>SBM</v>
      </c>
      <c r="C133" s="13" t="str">
        <f>SAAD!D3</f>
        <v>ANCHIETA</v>
      </c>
      <c r="D133" s="11">
        <f>SAAD!E3</f>
        <v>46438</v>
      </c>
      <c r="E133" s="13" t="str">
        <f>SAAD!F3</f>
        <v>L7-65902/4</v>
      </c>
      <c r="F133" s="11">
        <f>SAAD!G3</f>
        <v>46438</v>
      </c>
    </row>
    <row r="134" spans="1:6" ht="16.5" hidden="1" customHeight="1" x14ac:dyDescent="0.3">
      <c r="A134" s="3" t="str">
        <f>SAAD!A4</f>
        <v>CME-SAAD.003</v>
      </c>
      <c r="B134" s="13" t="str">
        <f>SAAD!C4</f>
        <v>BASE</v>
      </c>
      <c r="C134" s="13" t="str">
        <f>SAAD!D4</f>
        <v>BASE</v>
      </c>
      <c r="D134" s="11">
        <f>SAAD!E4</f>
        <v>45470</v>
      </c>
      <c r="E134" s="13" t="str">
        <f>SAAD!F4</f>
        <v>S/ESLINGA</v>
      </c>
      <c r="F134" s="11" t="str">
        <f>SAAD!G4</f>
        <v>S/ESLINGA</v>
      </c>
    </row>
    <row r="135" spans="1:6" ht="16.5" hidden="1" customHeight="1" x14ac:dyDescent="0.3">
      <c r="A135" s="3" t="str">
        <f>SAAD!A5</f>
        <v>CME-SAAD.004</v>
      </c>
      <c r="B135" s="13" t="str">
        <f>SAAD!C5</f>
        <v>BASE</v>
      </c>
      <c r="C135" s="13" t="str">
        <f>SAAD!D5</f>
        <v>BASE</v>
      </c>
      <c r="D135" s="11">
        <f>SAAD!E5</f>
        <v>45829</v>
      </c>
      <c r="E135" s="13" t="str">
        <f>SAAD!F5</f>
        <v>L7-70004</v>
      </c>
      <c r="F135" s="11">
        <f>SAAD!G5</f>
        <v>45829</v>
      </c>
    </row>
    <row r="136" spans="1:6" ht="16.5" hidden="1" customHeight="1" x14ac:dyDescent="0.3">
      <c r="A136" s="3" t="str">
        <f>SAAD!A6</f>
        <v>CME-SAAD.005</v>
      </c>
      <c r="B136" s="13" t="str">
        <f>SAAD!C6</f>
        <v>BASE</v>
      </c>
      <c r="C136" s="13" t="str">
        <f>SAAD!D6</f>
        <v>BASE</v>
      </c>
      <c r="D136" s="11">
        <f>SAAD!E6</f>
        <v>46539</v>
      </c>
      <c r="E136" s="13" t="str">
        <f>SAAD!F6</f>
        <v>BC-2303110</v>
      </c>
      <c r="F136" s="11">
        <f>SAAD!G6</f>
        <v>46539</v>
      </c>
    </row>
    <row r="137" spans="1:6" ht="16.5" hidden="1" customHeight="1" x14ac:dyDescent="0.3">
      <c r="A137" s="3" t="str">
        <f>SAAD!A7</f>
        <v>CME-SAAD.006</v>
      </c>
      <c r="B137" s="13" t="str">
        <f>SAAD!C7</f>
        <v>BASE</v>
      </c>
      <c r="C137" s="13" t="str">
        <f>SAAD!D7</f>
        <v>MV26</v>
      </c>
      <c r="D137" s="11">
        <f>SAAD!E7</f>
        <v>46539</v>
      </c>
      <c r="E137" s="13" t="str">
        <f>SAAD!F7</f>
        <v>BC-2303863</v>
      </c>
      <c r="F137" s="11">
        <f>SAAD!G7</f>
        <v>46539</v>
      </c>
    </row>
    <row r="138" spans="1:6" ht="16.5" hidden="1" customHeight="1" x14ac:dyDescent="0.3">
      <c r="A138" s="3" t="str">
        <f>SAAD!A8</f>
        <v>CME-SAAD.007</v>
      </c>
      <c r="B138" s="13" t="str">
        <f>SAAD!C8</f>
        <v>BASE</v>
      </c>
      <c r="C138" s="13" t="str">
        <f>SAAD!D8</f>
        <v>BASE</v>
      </c>
      <c r="D138" s="11">
        <f>SAAD!E8</f>
        <v>46539</v>
      </c>
      <c r="E138" s="13" t="str">
        <f>SAAD!F8</f>
        <v>CME 008</v>
      </c>
      <c r="F138" s="11">
        <f>SAAD!G8</f>
        <v>46539</v>
      </c>
    </row>
    <row r="139" spans="1:6" ht="16.5" hidden="1" customHeight="1" x14ac:dyDescent="0.3">
      <c r="A139" s="3" t="str">
        <f>'VASO DE PRESSÃO'!A2</f>
        <v>CME-V.D.P.100</v>
      </c>
      <c r="B139" s="13" t="str">
        <f>'VASO DE PRESSÃO'!C2</f>
        <v>BASE</v>
      </c>
      <c r="C139" s="13" t="str">
        <f>'VASO DE PRESSÃO'!D2</f>
        <v>MV26</v>
      </c>
      <c r="D139" s="11">
        <f>'VASO DE PRESSÃO'!E2</f>
        <v>46539</v>
      </c>
      <c r="E139" s="11" t="str">
        <f>'VASO DE PRESSÃO'!F2</f>
        <v>BC-2526481</v>
      </c>
      <c r="F139" s="11">
        <f>'VASO DE PRESSÃO'!G2</f>
        <v>46539</v>
      </c>
    </row>
    <row r="140" spans="1:6" ht="16.5" hidden="1" customHeight="1" x14ac:dyDescent="0.3">
      <c r="A140" s="3" t="str">
        <f>'VASO DE PRESSÃO'!A3</f>
        <v>CME-V.D.P.101</v>
      </c>
      <c r="B140" s="13" t="str">
        <f>'VASO DE PRESSÃO'!C3</f>
        <v>BASE</v>
      </c>
      <c r="C140" s="13" t="str">
        <f>'VASO DE PRESSÃO'!D3</f>
        <v>BASE</v>
      </c>
      <c r="D140" s="11">
        <f>'VASO DE PRESSÃO'!E3</f>
        <v>45829</v>
      </c>
      <c r="E140" s="11" t="str">
        <f>'VASO DE PRESSÃO'!F3</f>
        <v>5046-1</v>
      </c>
      <c r="F140" s="11">
        <f>'VASO DE PRESSÃO'!G3</f>
        <v>45829</v>
      </c>
    </row>
    <row r="141" spans="1:6" ht="16.5" hidden="1" customHeight="1" x14ac:dyDescent="0.3">
      <c r="A141" s="3" t="str">
        <f>'VASO DE PRESSÃO'!A4</f>
        <v>CME-V.D.P.102</v>
      </c>
      <c r="B141" s="13" t="str">
        <f>'VASO DE PRESSÃO'!C4</f>
        <v>SBM</v>
      </c>
      <c r="C141" s="13" t="str">
        <f>'VASO DE PRESSÃO'!D4</f>
        <v>ANCHIETA</v>
      </c>
      <c r="D141" s="11">
        <f>'VASO DE PRESSÃO'!E4</f>
        <v>46438</v>
      </c>
      <c r="E141" s="11" t="str">
        <f>'VASO DE PRESSÃO'!F4</f>
        <v>5148-4</v>
      </c>
      <c r="F141" s="11">
        <f>'VASO DE PRESSÃO'!G4</f>
        <v>46438</v>
      </c>
    </row>
    <row r="142" spans="1:6" ht="16.5" hidden="1" customHeight="1" x14ac:dyDescent="0.3">
      <c r="A142" s="3" t="str">
        <f>TANQUE!A2</f>
        <v>SCZU-87346-3</v>
      </c>
      <c r="B142" s="13" t="str">
        <f>TANQUE!C2</f>
        <v>BASE</v>
      </c>
      <c r="C142" s="13" t="str">
        <f>TANQUE!D2</f>
        <v>BASE</v>
      </c>
      <c r="D142" s="11" t="str">
        <f>TANQUE!E2</f>
        <v>***</v>
      </c>
      <c r="E142" s="11" t="str">
        <f>TANQUE!F2</f>
        <v>***</v>
      </c>
      <c r="F142" s="11" t="str">
        <f>TANQUE!G2</f>
        <v>***</v>
      </c>
    </row>
    <row r="143" spans="1:6" ht="16.5" hidden="1" customHeight="1" x14ac:dyDescent="0.3">
      <c r="A143" s="3" t="str">
        <f>TANQUE!A3</f>
        <v>TOLU-916108-1</v>
      </c>
      <c r="B143" s="13" t="str">
        <f>TANQUE!C3</f>
        <v>BASE</v>
      </c>
      <c r="C143" s="13" t="str">
        <f>TANQUE!D3</f>
        <v>BASE</v>
      </c>
      <c r="D143" s="11" t="str">
        <f>TANQUE!E3</f>
        <v>***</v>
      </c>
      <c r="E143" s="11" t="str">
        <f>TANQUE!F3</f>
        <v>***</v>
      </c>
      <c r="F143" s="11" t="str">
        <f>TANQUE!G3</f>
        <v>***</v>
      </c>
    </row>
    <row r="144" spans="1:6" ht="16.5" hidden="1" customHeight="1" x14ac:dyDescent="0.3">
      <c r="A144" s="3" t="str">
        <f>TANQUE!A4</f>
        <v>CME-MDT-DNV.001</v>
      </c>
      <c r="B144" s="13" t="str">
        <f>TANQUE!C4</f>
        <v>BASE</v>
      </c>
      <c r="C144" s="13" t="str">
        <f>TANQUE!D4</f>
        <v>SAQUAREMA</v>
      </c>
      <c r="D144" s="11">
        <f>TANQUE!E4</f>
        <v>46477</v>
      </c>
      <c r="E144" s="11" t="str">
        <f>TANQUE!F4</f>
        <v>CME-01-25</v>
      </c>
      <c r="F144" s="11">
        <f>TANQUE!G4</f>
        <v>46477</v>
      </c>
    </row>
    <row r="145" spans="1:6" ht="16.5" hidden="1" customHeight="1" x14ac:dyDescent="0.3">
      <c r="A145" s="3" t="str">
        <f>TANQUE!A5</f>
        <v>CME-MDT-DNV.002</v>
      </c>
      <c r="B145" s="13" t="str">
        <f>TANQUE!C5</f>
        <v>BASE</v>
      </c>
      <c r="C145" s="13" t="str">
        <f>TANQUE!D5</f>
        <v>SAQUAREMA</v>
      </c>
      <c r="D145" s="11">
        <f>TANQUE!E5</f>
        <v>46477</v>
      </c>
      <c r="E145" s="11" t="str">
        <f>TANQUE!F5</f>
        <v>CME-02-25</v>
      </c>
      <c r="F145" s="11">
        <f>TANQUE!G5</f>
        <v>46477</v>
      </c>
    </row>
    <row r="146" spans="1:6" ht="16.5" hidden="1" customHeight="1" x14ac:dyDescent="0.3">
      <c r="A146" s="3" t="str">
        <f>TANQUE!A6</f>
        <v>CME-MDT-DNV.003</v>
      </c>
      <c r="B146" s="13" t="str">
        <f>TANQUE!C6</f>
        <v>BASE</v>
      </c>
      <c r="C146" s="13" t="str">
        <f>TANQUE!D6</f>
        <v>SAQUAREMA</v>
      </c>
      <c r="D146" s="11">
        <f>TANQUE!E6</f>
        <v>46477</v>
      </c>
      <c r="E146" s="11" t="str">
        <f>TANQUE!F6</f>
        <v>BC-2527246</v>
      </c>
      <c r="F146" s="11">
        <f>TANQUE!G6</f>
        <v>46477</v>
      </c>
    </row>
    <row r="147" spans="1:6" ht="16.5" hidden="1" customHeight="1" x14ac:dyDescent="0.3">
      <c r="A147" s="3" t="str">
        <f>TANQUE!A7</f>
        <v>CME-MDT-DNV.004</v>
      </c>
      <c r="B147" s="13" t="str">
        <f>TANQUE!C7</f>
        <v>BASE</v>
      </c>
      <c r="C147" s="13" t="str">
        <f>TANQUE!D7</f>
        <v>SAQUAREMA</v>
      </c>
      <c r="D147" s="11">
        <f>TANQUE!E7</f>
        <v>46477</v>
      </c>
      <c r="E147" s="11" t="str">
        <f>TANQUE!F7</f>
        <v>BC-2527247</v>
      </c>
      <c r="F147" s="11">
        <f>TANQUE!G7</f>
        <v>46477</v>
      </c>
    </row>
    <row r="148" spans="1:6" ht="16.5" hidden="1" customHeight="1" x14ac:dyDescent="0.3">
      <c r="A148" s="3" t="str">
        <f>DIVERSOS!A2</f>
        <v>CME.CMF.001</v>
      </c>
      <c r="B148" s="13" t="str">
        <f>DIVERSOS!C2</f>
        <v>BASE</v>
      </c>
      <c r="C148" s="13" t="str">
        <f>DIVERSOS!D2</f>
        <v>BASE</v>
      </c>
      <c r="D148" s="11" t="str">
        <f>DIVERSOS!E2</f>
        <v>S/ESLINGA</v>
      </c>
      <c r="E148" s="37" t="str">
        <f>DIVERSOS!F2</f>
        <v>S/ESLINGA</v>
      </c>
      <c r="F148" s="11" t="str">
        <f>DIVERSOS!G2</f>
        <v>S/ESLINGA</v>
      </c>
    </row>
    <row r="149" spans="1:6" ht="16.5" hidden="1" customHeight="1" x14ac:dyDescent="0.3">
      <c r="A149" s="3" t="str">
        <f>DIVERSOS!A3</f>
        <v>CME.BF2M.001</v>
      </c>
      <c r="B149" s="13" t="str">
        <f>DIVERSOS!C3</f>
        <v>BASE</v>
      </c>
      <c r="C149" s="13" t="str">
        <f>DIVERSOS!D3</f>
        <v>BASE</v>
      </c>
      <c r="D149" s="11" t="str">
        <f>DIVERSOS!E3</f>
        <v>S/ESLINGA</v>
      </c>
      <c r="E149" s="37" t="str">
        <f>DIVERSOS!F3</f>
        <v>S/ESLINGA</v>
      </c>
      <c r="F149" s="11" t="str">
        <f>DIVERSOS!G3</f>
        <v>S/ESLINGA</v>
      </c>
    </row>
    <row r="150" spans="1:6" ht="16.5" hidden="1" customHeight="1" x14ac:dyDescent="0.3">
      <c r="A150" s="3" t="str">
        <f>DIVERSOS!A4</f>
        <v>CME-BF2M.002</v>
      </c>
      <c r="B150" s="13" t="str">
        <f>DIVERSOS!C4</f>
        <v>BASE</v>
      </c>
      <c r="C150" s="13" t="str">
        <f>DIVERSOS!D4</f>
        <v>BASE</v>
      </c>
      <c r="D150" s="11">
        <f>DIVERSOS!E4</f>
        <v>45507</v>
      </c>
      <c r="E150" s="37" t="str">
        <f>DIVERSOS!F4</f>
        <v>001</v>
      </c>
      <c r="F150" s="11">
        <f>DIVERSOS!G4</f>
        <v>45507</v>
      </c>
    </row>
    <row r="151" spans="1:6" ht="16.5" hidden="1" customHeight="1" x14ac:dyDescent="0.3">
      <c r="A151" s="3" t="str">
        <f>DIVERSOS!A5</f>
        <v>CME-BFHW.001</v>
      </c>
      <c r="B151" s="13" t="str">
        <f>DIVERSOS!C5</f>
        <v>BASE</v>
      </c>
      <c r="C151" s="13" t="str">
        <f>DIVERSOS!D5</f>
        <v>BASE</v>
      </c>
      <c r="D151" s="11" t="str">
        <f>DIVERSOS!E5</f>
        <v>S/ESLINGA</v>
      </c>
      <c r="E151" s="37" t="str">
        <f>DIVERSOS!F5</f>
        <v>S/ESLINGA</v>
      </c>
      <c r="F151" s="11" t="str">
        <f>DIVERSOS!G5</f>
        <v>S/ESLINGA</v>
      </c>
    </row>
    <row r="152" spans="1:6" ht="16.5" hidden="1" customHeight="1" x14ac:dyDescent="0.3">
      <c r="A152" s="3" t="str">
        <f>DIVERSOS!A6</f>
        <v>CME-SKID-COMP.029</v>
      </c>
      <c r="B152" s="13" t="str">
        <f>DIVERSOS!C6</f>
        <v>BASE</v>
      </c>
      <c r="C152" s="13" t="str">
        <f>DIVERSOS!D6</f>
        <v>MV26</v>
      </c>
      <c r="D152" s="11">
        <f>DIVERSOS!E6</f>
        <v>46539</v>
      </c>
      <c r="E152" s="37" t="str">
        <f>DIVERSOS!F6</f>
        <v>5148-3</v>
      </c>
      <c r="F152" s="11">
        <f>DIVERSOS!G6</f>
        <v>46539</v>
      </c>
    </row>
    <row r="153" spans="1:6" ht="16.5" customHeight="1" x14ac:dyDescent="0.3">
      <c r="A153" s="3" t="str">
        <f>DIVERSOS!A7</f>
        <v>CME-COMP.101</v>
      </c>
      <c r="B153" s="13" t="str">
        <f>DIVERSOS!C7</f>
        <v>SUBSEA7</v>
      </c>
      <c r="C153" s="13" t="str">
        <f>DIVERSOS!D7</f>
        <v>SUBSEA7</v>
      </c>
      <c r="D153" s="11">
        <f>DIVERSOS!E7</f>
        <v>46430</v>
      </c>
      <c r="E153" s="37" t="str">
        <f>DIVERSOS!F7</f>
        <v>L7-69938</v>
      </c>
      <c r="F153" s="11">
        <f>DIVERSOS!G7</f>
        <v>46430</v>
      </c>
    </row>
    <row r="154" spans="1:6" ht="16.5" hidden="1" customHeight="1" x14ac:dyDescent="0.3">
      <c r="A154" s="3" t="str">
        <f>DIVERSOS!A8</f>
        <v>CME-HSL.018 (EVAPORADORA)</v>
      </c>
      <c r="B154" s="13" t="str">
        <f>DIVERSOS!C8</f>
        <v>BASE</v>
      </c>
      <c r="C154" s="13" t="str">
        <f>DIVERSOS!D8</f>
        <v>BASE</v>
      </c>
      <c r="D154" s="11">
        <f>DIVERSOS!E8</f>
        <v>46429</v>
      </c>
      <c r="E154" s="37" t="str">
        <f>DIVERSOS!F8</f>
        <v>RF0391</v>
      </c>
      <c r="F154" s="11">
        <f>DIVERSOS!G8</f>
        <v>46429</v>
      </c>
    </row>
    <row r="155" spans="1:6" ht="16.5" customHeight="1" x14ac:dyDescent="0.3">
      <c r="A155" s="3"/>
      <c r="B155" s="13"/>
      <c r="C155" s="13"/>
      <c r="D155" s="11"/>
      <c r="E155" s="13"/>
      <c r="F155" s="11"/>
    </row>
    <row r="156" spans="1:6" ht="16.5" customHeight="1" x14ac:dyDescent="0.3">
      <c r="A156" s="3"/>
      <c r="B156" s="13"/>
      <c r="C156" s="13"/>
      <c r="D156" s="11"/>
      <c r="E156" s="13"/>
      <c r="F156" s="11"/>
    </row>
    <row r="157" spans="1:6" ht="16.5" customHeight="1" x14ac:dyDescent="0.3">
      <c r="A157" s="3"/>
      <c r="B157" s="13"/>
      <c r="C157" s="13"/>
      <c r="D157" s="11"/>
      <c r="E157" s="13"/>
      <c r="F157" s="11"/>
    </row>
    <row r="158" spans="1:6" ht="16.5" customHeight="1" x14ac:dyDescent="0.3">
      <c r="A158" s="3"/>
      <c r="B158" s="13"/>
      <c r="C158" s="13"/>
      <c r="D158" s="11"/>
      <c r="E158" s="13"/>
      <c r="F158" s="11"/>
    </row>
    <row r="159" spans="1:6" ht="16.5" customHeight="1" x14ac:dyDescent="0.3">
      <c r="A159" s="3"/>
      <c r="B159" s="13"/>
      <c r="C159" s="13"/>
      <c r="D159" s="11"/>
      <c r="E159" s="13"/>
      <c r="F159" s="11"/>
    </row>
    <row r="160" spans="1:6" ht="16.5" customHeight="1" x14ac:dyDescent="0.3">
      <c r="A160" s="3"/>
      <c r="B160" s="13"/>
      <c r="C160" s="13"/>
      <c r="D160" s="11"/>
      <c r="E160" s="13"/>
      <c r="F160" s="11"/>
    </row>
    <row r="161" spans="1:6" ht="16.5" customHeight="1" x14ac:dyDescent="0.3">
      <c r="A161" s="3"/>
      <c r="B161" s="13"/>
      <c r="C161" s="13"/>
      <c r="D161" s="11"/>
      <c r="E161" s="13"/>
      <c r="F161" s="11"/>
    </row>
    <row r="162" spans="1:6" ht="16.5" customHeight="1" x14ac:dyDescent="0.3">
      <c r="A162" s="3"/>
      <c r="B162" s="13"/>
      <c r="C162" s="13"/>
      <c r="D162" s="11"/>
      <c r="E162" s="13"/>
      <c r="F162" s="11"/>
    </row>
    <row r="163" spans="1:6" ht="16.5" customHeight="1" x14ac:dyDescent="0.3">
      <c r="A163" s="3"/>
      <c r="B163" s="13"/>
      <c r="C163" s="13"/>
      <c r="D163" s="11"/>
      <c r="E163" s="13"/>
      <c r="F163" s="11"/>
    </row>
  </sheetData>
  <autoFilter ref="A1:F154" xr:uid="{00000000-0001-0000-0000-000000000000}">
    <filterColumn colId="4">
      <filters>
        <filter val="L7-69939"/>
      </filters>
    </filterColumn>
    <sortState xmlns:xlrd2="http://schemas.microsoft.com/office/spreadsheetml/2017/richdata2" ref="A2:F3">
      <sortCondition ref="A2:A3"/>
    </sortState>
  </autoFilter>
  <pageMargins left="0.7" right="0.7" top="0.75" bottom="0.75" header="0.3" footer="0.3"/>
  <pageSetup paperSize="9" scale="7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5</vt:i4>
      </vt:variant>
    </vt:vector>
  </HeadingPairs>
  <TitlesOfParts>
    <vt:vector size="20" baseType="lpstr">
      <vt:lpstr>AFTECOOLLER</vt:lpstr>
      <vt:lpstr>BOOSTER</vt:lpstr>
      <vt:lpstr>BOMBA LIMPEZA QUIMICA</vt:lpstr>
      <vt:lpstr>CALDEIRA</vt:lpstr>
      <vt:lpstr>CONTAINER</vt:lpstr>
      <vt:lpstr>CONTAINER HIDROJATO</vt:lpstr>
      <vt:lpstr>MEMBRANA</vt:lpstr>
      <vt:lpstr>QUAD GAS</vt:lpstr>
      <vt:lpstr>COMPRESSORES</vt:lpstr>
      <vt:lpstr>SAAD</vt:lpstr>
      <vt:lpstr>MOLSIEVE</vt:lpstr>
      <vt:lpstr>VASO DE PRESSÃO</vt:lpstr>
      <vt:lpstr>TANQUE</vt:lpstr>
      <vt:lpstr>DIVERSOS</vt:lpstr>
      <vt:lpstr>GERAL</vt:lpstr>
      <vt:lpstr>COMPRESSORES!Area_de_impressao</vt:lpstr>
      <vt:lpstr>CONTAINER!Area_de_impressao</vt:lpstr>
      <vt:lpstr>MOLSIEVE!Area_de_impressao</vt:lpstr>
      <vt:lpstr>'QUAD GAS'!Area_de_impressao</vt:lpstr>
      <vt:lpstr>SAAD!Area_de_impressao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CME Compras.2</cp:lastModifiedBy>
  <cp:lastPrinted>2026-06-01T12:13:53Z</cp:lastPrinted>
  <dcterms:created xsi:type="dcterms:W3CDTF">2023-07-19T11:17:01Z</dcterms:created>
  <dcterms:modified xsi:type="dcterms:W3CDTF">2026-06-11T15:14:04Z</dcterms:modified>
  <cp:category/>
</cp:coreProperties>
</file>